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4th-test/pub-sub/"/>
    </mc:Choice>
  </mc:AlternateContent>
  <xr:revisionPtr revIDLastSave="0" documentId="13_ncr:9_{1A33C108-359A-0144-95FF-AA0D53EFE706}" xr6:coauthVersionLast="47" xr6:coauthVersionMax="47" xr10:uidLastSave="{00000000-0000-0000-0000-000000000000}"/>
  <bookViews>
    <workbookView xWindow="14700" yWindow="660" windowWidth="14700" windowHeight="18460" xr2:uid="{AD11A32F-7747-1841-8178-62B2617A0DB4}"/>
  </bookViews>
  <sheets>
    <sheet name="pub-sub-lock-800-ngrinder-resu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29" i="1"/>
  <c r="B39" i="1" s="1"/>
  <c r="B44" i="1" s="1"/>
  <c r="B23" i="1"/>
  <c r="C15" i="1"/>
  <c r="B31" i="1" s="1"/>
  <c r="B41" i="1" s="1"/>
  <c r="B15" i="1"/>
  <c r="B36" i="1" s="1"/>
  <c r="A15" i="1"/>
  <c r="C14" i="1"/>
  <c r="B30" i="1" s="1"/>
  <c r="B40" i="1" s="1"/>
  <c r="B45" i="1" s="1"/>
  <c r="B14" i="1"/>
  <c r="A14" i="1"/>
  <c r="B20" i="1" s="1"/>
  <c r="C13" i="1"/>
  <c r="B13" i="1"/>
  <c r="A13" i="1"/>
  <c r="B19" i="1" s="1"/>
  <c r="C12" i="1"/>
  <c r="B28" i="1" s="1"/>
  <c r="B12" i="1"/>
  <c r="B33" i="1" s="1"/>
  <c r="A12" i="1"/>
  <c r="C11" i="1"/>
  <c r="B27" i="1" s="1"/>
  <c r="B11" i="1"/>
  <c r="B32" i="1" s="1"/>
  <c r="A11" i="1"/>
  <c r="B37" i="1" l="1"/>
  <c r="B42" i="1" s="1"/>
  <c r="B46" i="1"/>
  <c r="B38" i="1"/>
  <c r="B43" i="1" s="1"/>
  <c r="B17" i="1"/>
  <c r="B21" i="1"/>
  <c r="B18" i="1"/>
  <c r="B47" i="1" l="1"/>
  <c r="B48" i="1" s="1"/>
  <c r="B22" i="1"/>
  <c r="B24" i="1" s="1"/>
  <c r="B25" i="1" l="1"/>
  <c r="B51" i="1"/>
  <c r="B53" i="1" s="1"/>
  <c r="B56" i="1" s="1"/>
  <c r="B59" i="1" s="1"/>
  <c r="B60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<sst xmlns="http://schemas.openxmlformats.org/spreadsheetml/2006/main" count="13" uniqueCount="13">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</sst>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6FCE38A-DA71-A74E-B290-462D7AFF42F7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6FCE38A-DA71-A74E-B290-462D7AFF42F7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9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AFF3735-1B0B-544A-8222-3A23616C5B1B}"/>
                </a:ext>
              </a:extLst>
            </xdr:cNvPr>
            <xdr:cNvSpPr txBox="1"/>
          </xdr:nvSpPr>
          <xdr:spPr>
            <a:xfrm>
              <a:off x="23114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AFF3735-1B0B-544A-8222-3A23616C5B1B}"/>
                </a:ext>
              </a:extLst>
            </xdr:cNvPr>
            <xdr:cNvSpPr txBox="1"/>
          </xdr:nvSpPr>
          <xdr:spPr>
            <a:xfrm>
              <a:off x="23114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9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EE7D068-4008-0740-BF41-877781E69AE9}"/>
                </a:ext>
              </a:extLst>
            </xdr:cNvPr>
            <xdr:cNvSpPr txBox="1"/>
          </xdr:nvSpPr>
          <xdr:spPr>
            <a:xfrm>
              <a:off x="33528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EE7D068-4008-0740-BF41-877781E69AE9}"/>
                </a:ext>
              </a:extLst>
            </xdr:cNvPr>
            <xdr:cNvSpPr txBox="1"/>
          </xdr:nvSpPr>
          <xdr:spPr>
            <a:xfrm>
              <a:off x="33528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7364199-8FF8-054F-B11C-6499D3B27AC1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7364199-8FF8-054F-B11C-6499D3B27AC1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21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4446EAE-8285-BB40-896E-F73617EDF07A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4446EAE-8285-BB40-896E-F73617EDF07A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22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0600153-B265-6149-8D5C-DC587E59D342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0600153-B265-6149-8D5C-DC587E59D342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E2AD5D2-E60D-DC4D-AC5A-12B0045A6030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E2AD5D2-E60D-DC4D-AC5A-12B0045A6030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39D2494-2712-AD41-B7C8-5CAB4FB034AC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39D2494-2712-AD41-B7C8-5CAB4FB034AC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DB1BA12-F4E6-1C45-8FB3-DA1BC2A72D1C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DB1BA12-F4E6-1C45-8FB3-DA1BC2A72D1C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36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EF448F5-86CF-F449-B68B-8430CD52B3B9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EF448F5-86CF-F449-B68B-8430CD52B3B9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521148B-625E-024A-B25F-12AB3324F71B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521148B-625E-024A-B25F-12AB3324F71B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EC618AA-8B4B-F94B-901F-6C5616489FCD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EC618AA-8B4B-F94B-901F-6C5616489FCD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38ABE6D-977B-FA4D-8D1E-FA2DC781D670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38ABE6D-977B-FA4D-8D1E-FA2DC781D670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50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3039576-4CA2-8C42-90B5-EBF2BB5B697E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3039576-4CA2-8C42-90B5-EBF2BB5B697E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52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350570E-6595-3949-BA79-5EF2D5E101F5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350570E-6595-3949-BA79-5EF2D5E101F5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55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D0083B2-FA30-8546-9173-18B4C4C1B8EB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D0083B2-FA30-8546-9173-18B4C4C1B8EB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58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FBC3806-FCAF-CD4C-B0FC-1FE49A353B39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FBC3806-FCAF-CD4C-B0FC-1FE49A353B39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394FB-ED9E-EB46-9476-43F1A7906B75}">
  <dimension ref="A1:M60"/>
  <sheetViews>
    <sheetView tabSelected="1" topLeftCell="A37" workbookViewId="0">
      <selection activeCell="E49" sqref="E49"/>
    </sheetView>
  </sheetViews>
  <sheetFormatPr baseColWidth="10" defaultRowHeight="18"/>
  <cols>
    <col min="1" max="1" width="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46110.842662037037</v>
      </c>
      <c r="B2">
        <v>706</v>
      </c>
      <c r="C2">
        <v>94</v>
      </c>
      <c r="D2">
        <v>0</v>
      </c>
      <c r="E2">
        <v>724.10799999999995</v>
      </c>
      <c r="F2">
        <v>296.66500000000002</v>
      </c>
      <c r="G2">
        <v>46.5</v>
      </c>
      <c r="H2">
        <v>77</v>
      </c>
      <c r="I2">
        <v>3580.5</v>
      </c>
      <c r="J2">
        <v>0</v>
      </c>
      <c r="K2">
        <v>0</v>
      </c>
      <c r="L2">
        <v>212.18299999999999</v>
      </c>
      <c r="M2">
        <v>356.02199999999999</v>
      </c>
    </row>
    <row r="3" spans="1:13">
      <c r="A3" s="1">
        <v>46110.842685185184</v>
      </c>
      <c r="B3">
        <v>388</v>
      </c>
      <c r="C3">
        <v>322</v>
      </c>
      <c r="D3">
        <v>0</v>
      </c>
      <c r="E3">
        <v>1095.4970000000001</v>
      </c>
      <c r="F3">
        <v>378.17</v>
      </c>
      <c r="G3">
        <v>161</v>
      </c>
      <c r="H3">
        <v>136.03100000000001</v>
      </c>
      <c r="I3">
        <v>21901</v>
      </c>
      <c r="J3">
        <v>216</v>
      </c>
      <c r="K3">
        <v>0</v>
      </c>
      <c r="L3">
        <v>265.59300000000002</v>
      </c>
      <c r="M3">
        <v>390.74799999999999</v>
      </c>
    </row>
    <row r="4" spans="1:13">
      <c r="A4" s="1">
        <v>46110.84270833333</v>
      </c>
      <c r="B4">
        <v>17</v>
      </c>
      <c r="C4">
        <v>367</v>
      </c>
      <c r="D4">
        <v>0</v>
      </c>
      <c r="E4">
        <v>635.529</v>
      </c>
      <c r="F4">
        <v>386.23899999999998</v>
      </c>
      <c r="G4">
        <v>183.5</v>
      </c>
      <c r="H4">
        <v>165</v>
      </c>
      <c r="I4">
        <v>30277.5</v>
      </c>
      <c r="J4">
        <v>367</v>
      </c>
      <c r="K4">
        <v>0</v>
      </c>
      <c r="L4">
        <v>180.441</v>
      </c>
      <c r="M4">
        <v>238.458</v>
      </c>
    </row>
    <row r="5" spans="1:13">
      <c r="A5" s="1">
        <v>46110.842731481483</v>
      </c>
      <c r="B5">
        <v>4</v>
      </c>
      <c r="C5">
        <v>13</v>
      </c>
      <c r="D5">
        <v>0</v>
      </c>
      <c r="E5">
        <v>7.6150000000000002</v>
      </c>
      <c r="F5">
        <v>4.234</v>
      </c>
      <c r="G5">
        <v>6.5</v>
      </c>
      <c r="H5">
        <v>165</v>
      </c>
      <c r="I5">
        <v>1072.5</v>
      </c>
      <c r="J5">
        <v>13</v>
      </c>
      <c r="K5">
        <v>0</v>
      </c>
      <c r="L5">
        <v>2.3849999999999998</v>
      </c>
      <c r="M5">
        <v>3.4620000000000002</v>
      </c>
    </row>
    <row r="6" spans="1:13">
      <c r="A6" s="1">
        <v>46110.84275462963</v>
      </c>
      <c r="B6">
        <v>0</v>
      </c>
      <c r="C6">
        <v>4</v>
      </c>
      <c r="D6">
        <v>0</v>
      </c>
      <c r="E6">
        <v>11.75</v>
      </c>
      <c r="F6">
        <v>1.4790000000000001</v>
      </c>
      <c r="G6">
        <v>2</v>
      </c>
      <c r="H6">
        <v>165</v>
      </c>
      <c r="I6">
        <v>330</v>
      </c>
      <c r="J6">
        <v>4</v>
      </c>
      <c r="K6">
        <v>0</v>
      </c>
      <c r="L6">
        <v>4</v>
      </c>
      <c r="M6">
        <v>5.25</v>
      </c>
    </row>
    <row r="11" spans="1:13">
      <c r="A11">
        <f>C2</f>
        <v>94</v>
      </c>
      <c r="B11">
        <f t="shared" ref="B11:C15" si="0">E2</f>
        <v>724.10799999999995</v>
      </c>
      <c r="C11">
        <f t="shared" si="0"/>
        <v>296.66500000000002</v>
      </c>
    </row>
    <row r="12" spans="1:13">
      <c r="A12">
        <f>C3</f>
        <v>322</v>
      </c>
      <c r="B12">
        <f t="shared" si="0"/>
        <v>1095.4970000000001</v>
      </c>
      <c r="C12">
        <f t="shared" si="0"/>
        <v>378.17</v>
      </c>
    </row>
    <row r="13" spans="1:13">
      <c r="A13">
        <f>C4</f>
        <v>367</v>
      </c>
      <c r="B13">
        <f t="shared" si="0"/>
        <v>635.529</v>
      </c>
      <c r="C13">
        <f t="shared" si="0"/>
        <v>386.23899999999998</v>
      </c>
    </row>
    <row r="14" spans="1:13">
      <c r="A14">
        <f>C5</f>
        <v>13</v>
      </c>
      <c r="B14">
        <f t="shared" si="0"/>
        <v>7.6150000000000002</v>
      </c>
      <c r="C14">
        <f t="shared" si="0"/>
        <v>4.234</v>
      </c>
    </row>
    <row r="15" spans="1:13">
      <c r="A15">
        <f>C6</f>
        <v>4</v>
      </c>
      <c r="B15">
        <f t="shared" si="0"/>
        <v>11.75</v>
      </c>
      <c r="C15">
        <f t="shared" si="0"/>
        <v>1.4790000000000001</v>
      </c>
    </row>
    <row r="17" spans="2:2">
      <c r="B17">
        <f>A11*B11</f>
        <v>68066.152000000002</v>
      </c>
    </row>
    <row r="18" spans="2:2">
      <c r="B18">
        <f>A12*B12</f>
        <v>352750.03400000004</v>
      </c>
    </row>
    <row r="19" spans="2:2">
      <c r="B19">
        <f>A13*B13</f>
        <v>233239.14300000001</v>
      </c>
    </row>
    <row r="20" spans="2:2">
      <c r="B20">
        <f>A14*B14</f>
        <v>98.995000000000005</v>
      </c>
    </row>
    <row r="21" spans="2:2">
      <c r="B21">
        <f>A15*B15</f>
        <v>47</v>
      </c>
    </row>
    <row r="22" spans="2:2">
      <c r="B22">
        <f>SUM(B17:B21)</f>
        <v>654201.32400000002</v>
      </c>
    </row>
    <row r="23" spans="2:2">
      <c r="B23">
        <f>SUM(A11:A15)</f>
        <v>800</v>
      </c>
    </row>
    <row r="24" spans="2:2">
      <c r="B24">
        <f>B22/B23</f>
        <v>817.75165500000003</v>
      </c>
    </row>
    <row r="25" spans="2:2">
      <c r="B25">
        <f>ROUND(B24,2)</f>
        <v>817.75</v>
      </c>
    </row>
    <row r="27" spans="2:2">
      <c r="B27">
        <f>POWER(C11,2)</f>
        <v>88010.122225000014</v>
      </c>
    </row>
    <row r="28" spans="2:2">
      <c r="B28">
        <f>POWER(C12,2)</f>
        <v>143012.54890000002</v>
      </c>
    </row>
    <row r="29" spans="2:2">
      <c r="B29">
        <f>POWER(C13,2)</f>
        <v>149180.56512099999</v>
      </c>
    </row>
    <row r="30" spans="2:2">
      <c r="B30">
        <f>POWER(C14,2)</f>
        <v>17.926756000000001</v>
      </c>
    </row>
    <row r="31" spans="2:2">
      <c r="B31">
        <f>POWER(C15,2)</f>
        <v>2.1874410000000002</v>
      </c>
    </row>
    <row r="32" spans="2:2">
      <c r="B32">
        <f>POWER(B11,2)</f>
        <v>524332.39566399995</v>
      </c>
    </row>
    <row r="33" spans="2:2">
      <c r="B33">
        <f>POWER(B12,2)</f>
        <v>1200113.6770090002</v>
      </c>
    </row>
    <row r="34" spans="2:2">
      <c r="B34">
        <f>POWER(B13,2)</f>
        <v>403897.109841</v>
      </c>
    </row>
    <row r="35" spans="2:2">
      <c r="B35">
        <f>POWER(B14,2)</f>
        <v>57.988225</v>
      </c>
    </row>
    <row r="36" spans="2:2">
      <c r="B36">
        <f>POWER(B15,2)</f>
        <v>138.0625</v>
      </c>
    </row>
    <row r="37" spans="2:2">
      <c r="B37">
        <f>B27+B32</f>
        <v>612342.51788900001</v>
      </c>
    </row>
    <row r="38" spans="2:2">
      <c r="B38">
        <f>B28+B33</f>
        <v>1343126.2259090003</v>
      </c>
    </row>
    <row r="39" spans="2:2">
      <c r="B39">
        <f>B29+B34</f>
        <v>553077.67496199999</v>
      </c>
    </row>
    <row r="40" spans="2:2">
      <c r="B40">
        <f>B30+B35</f>
        <v>75.914980999999997</v>
      </c>
    </row>
    <row r="41" spans="2:2">
      <c r="B41">
        <f>B31+B36</f>
        <v>140.24994100000001</v>
      </c>
    </row>
    <row r="42" spans="2:2">
      <c r="B42">
        <f>A11*B37</f>
        <v>57560196.681566</v>
      </c>
    </row>
    <row r="43" spans="2:2">
      <c r="B43">
        <f>A12*B38</f>
        <v>432486644.74269807</v>
      </c>
    </row>
    <row r="44" spans="2:2">
      <c r="B44">
        <f>A13*B39</f>
        <v>202979506.711054</v>
      </c>
    </row>
    <row r="45" spans="2:2">
      <c r="B45">
        <f>A14*B40</f>
        <v>986.89475299999992</v>
      </c>
    </row>
    <row r="46" spans="2:2">
      <c r="B46">
        <f>A15*B41</f>
        <v>560.99976400000003</v>
      </c>
    </row>
    <row r="47" spans="2:2">
      <c r="B47">
        <f>SUM(B42:B46)</f>
        <v>693027896.02983499</v>
      </c>
    </row>
    <row r="48" spans="2:2">
      <c r="B48">
        <f>B47/B23</f>
        <v>866284.87003729376</v>
      </c>
    </row>
    <row r="51" spans="2:2">
      <c r="B51">
        <f>B48-POWER(B24,2)</f>
        <v>197567.10078205471</v>
      </c>
    </row>
    <row r="53" spans="2:2">
      <c r="B53">
        <f>SQRT(LN(1+B51/POWER(B24,2)))</f>
        <v>0.50877470668524483</v>
      </c>
    </row>
    <row r="56" spans="2:2">
      <c r="B56">
        <f>LN(B24)-POWER(B53,2)/2</f>
        <v>6.5771328391810355</v>
      </c>
    </row>
    <row r="59" spans="2:2">
      <c r="B59">
        <f>EXP(B56+1.64485*B53)</f>
        <v>1659.0342176954068</v>
      </c>
    </row>
    <row r="60" spans="2:2">
      <c r="B60">
        <f>ROUND(B59,2)</f>
        <v>1659.03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pub-sub-lock-800-ngrinder-resul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2026-03-29T21:47:40Z</dcterms:created>
  <dcterms:modified xsi:type="dcterms:W3CDTF">2026-03-29T21:48:50Z</dcterms:modified>
</cp:coreProperties>
</file>