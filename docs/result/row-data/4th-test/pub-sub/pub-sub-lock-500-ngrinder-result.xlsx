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pub-sub/"/>
    </mc:Choice>
  </mc:AlternateContent>
  <xr:revisionPtr revIDLastSave="0" documentId="13_ncr:9_{67B56C19-1B4A-4043-BC8F-A60707D547EE}" xr6:coauthVersionLast="47" xr6:coauthVersionMax="47" xr10:uidLastSave="{00000000-0000-0000-0000-000000000000}"/>
  <bookViews>
    <workbookView xWindow="14700" yWindow="660" windowWidth="14700" windowHeight="18460" xr2:uid="{A05F2414-7213-BA48-B4CF-D99B1B459B45}"/>
  </bookViews>
  <sheets>
    <sheet name="pub-sub-lock-5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11" i="1"/>
  <c r="B29" i="1" s="1"/>
  <c r="A11" i="1"/>
  <c r="B16" i="1" s="1"/>
  <c r="C10" i="1"/>
  <c r="B24" i="1" s="1"/>
  <c r="B32" i="1" s="1"/>
  <c r="B10" i="1"/>
  <c r="A10" i="1"/>
  <c r="B36" i="1" s="1"/>
  <c r="B33" i="1" l="1"/>
  <c r="B37" i="1"/>
  <c r="B40" i="1" s="1"/>
  <c r="B41" i="1" s="1"/>
  <c r="B44" i="1" s="1"/>
  <c r="B46" i="1" s="1"/>
  <c r="B20" i="1"/>
  <c r="B15" i="1"/>
  <c r="B19" i="1" s="1"/>
  <c r="B21" i="1" s="1"/>
  <c r="B22" i="1" l="1"/>
  <c r="B49" i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<sst xmlns="http://schemas.openxmlformats.org/spreadsheetml/2006/main" count="13" uniqueCount="13">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</sst>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CEF9E4-BCF3-BE40-A6B2-7CA77CDE2081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CEF9E4-BCF3-BE40-A6B2-7CA77CDE2081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D6272A-6F01-9E45-96A1-E5924E0C0406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D6272A-6F01-9E45-96A1-E5924E0C0406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B6778DD-78BE-2E4D-9691-95498D5FE807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B6778DD-78BE-2E4D-9691-95498D5FE807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8AF910-2D42-6740-A95C-D1BFE970ED28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8AF910-2D42-6740-A95C-D1BFE970ED28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E7E6B57-B30E-E54B-B62D-F6CD6A67455F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E7E6B57-B30E-E54B-B62D-F6CD6A67455F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E1F9E0E-EC43-4D4B-874C-1815A9275747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E1F9E0E-EC43-4D4B-874C-1815A9275747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C7720E-B06A-F44D-BA32-F14A2393009A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C7720E-B06A-F44D-BA32-F14A2393009A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F130529-65BE-EC42-8583-040898301760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F130529-65BE-EC42-8583-040898301760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B6F4DE5-CB67-534C-8A32-5C9DDA1D0DC5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B6F4DE5-CB67-534C-8A32-5C9DDA1D0DC5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0BFBE17-34AC-F041-97C2-59057CD4585F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0BFBE17-34AC-F041-97C2-59057CD4585F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C1E95C1-71AE-C34F-80D5-6F57C82A6F96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C1E95C1-71AE-C34F-80D5-6F57C82A6F96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3E08801-8CBC-A144-A22D-C0654256E2C9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3E08801-8CBC-A144-A22D-C0654256E2C9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EAB50B4-473A-1141-99D8-2D580EA186BB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EAB50B4-473A-1141-99D8-2D580EA186BB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7C49A5A-9847-7941-8C5A-6BB28FE3579F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7C49A5A-9847-7941-8C5A-6BB28FE3579F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04C0845-3C13-7145-BEBF-4BCAC1BFB909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04C0845-3C13-7145-BEBF-4BCAC1BFB909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459CCA9-A4C8-6249-8F94-08F4B4595828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459CCA9-A4C8-6249-8F94-08F4B4595828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FFAA29D-AA18-8E4E-A08E-E70F2DD3776E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FFAA29D-AA18-8E4E-A08E-E70F2DD3776E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25C6-AC9E-EC40-85BE-4F0CB20C6966}">
  <dimension ref="A1:M53"/>
  <sheetViews>
    <sheetView tabSelected="1" topLeftCell="A24" workbookViewId="0">
      <selection activeCell="F38" sqref="F38"/>
    </sheetView>
  </sheetViews>
  <sheetFormatPr baseColWidth="10" defaultRowHeight="18"/>
  <cols>
    <col min="1" max="1" width="23.71093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46110.835694444446</v>
      </c>
      <c r="B2">
        <v>415</v>
      </c>
      <c r="C2">
        <v>138</v>
      </c>
      <c r="D2">
        <v>0</v>
      </c>
      <c r="E2">
        <v>235.40600000000001</v>
      </c>
      <c r="F2">
        <v>268.935</v>
      </c>
      <c r="G2">
        <v>69</v>
      </c>
      <c r="H2">
        <v>77</v>
      </c>
      <c r="I2">
        <v>5313</v>
      </c>
      <c r="J2">
        <v>0</v>
      </c>
      <c r="K2">
        <v>0</v>
      </c>
      <c r="L2">
        <v>94.435000000000002</v>
      </c>
      <c r="M2">
        <v>126.348</v>
      </c>
    </row>
    <row r="3" spans="1:13">
      <c r="A3" s="1">
        <v>46110.835717592592</v>
      </c>
      <c r="B3">
        <v>149</v>
      </c>
      <c r="C3">
        <v>331</v>
      </c>
      <c r="D3">
        <v>0</v>
      </c>
      <c r="E3">
        <v>584.39300000000003</v>
      </c>
      <c r="F3">
        <v>333.48099999999999</v>
      </c>
      <c r="G3">
        <v>165.5</v>
      </c>
      <c r="H3">
        <v>148.517</v>
      </c>
      <c r="I3">
        <v>24579.5</v>
      </c>
      <c r="J3">
        <v>269</v>
      </c>
      <c r="K3">
        <v>0</v>
      </c>
      <c r="L3">
        <v>164.589</v>
      </c>
      <c r="M3">
        <v>211.483</v>
      </c>
    </row>
    <row r="4" spans="1:13">
      <c r="A4" s="1">
        <v>46110.835740740738</v>
      </c>
      <c r="B4">
        <v>7</v>
      </c>
      <c r="C4">
        <v>24</v>
      </c>
      <c r="D4">
        <v>0</v>
      </c>
      <c r="E4">
        <v>6.9580000000000002</v>
      </c>
      <c r="F4">
        <v>2.5249999999999999</v>
      </c>
      <c r="G4">
        <v>12</v>
      </c>
      <c r="H4">
        <v>165</v>
      </c>
      <c r="I4">
        <v>1980</v>
      </c>
      <c r="J4">
        <v>24</v>
      </c>
      <c r="K4">
        <v>0</v>
      </c>
      <c r="L4">
        <v>1.708</v>
      </c>
      <c r="M4">
        <v>2.7919999999999998</v>
      </c>
    </row>
    <row r="5" spans="1:13">
      <c r="A5" s="1">
        <v>46110.835763888892</v>
      </c>
      <c r="B5">
        <v>0</v>
      </c>
      <c r="C5">
        <v>7</v>
      </c>
      <c r="D5">
        <v>0</v>
      </c>
      <c r="E5">
        <v>8.2859999999999996</v>
      </c>
      <c r="F5">
        <v>2.25</v>
      </c>
      <c r="G5">
        <v>3.5</v>
      </c>
      <c r="H5">
        <v>165</v>
      </c>
      <c r="I5">
        <v>577.5</v>
      </c>
      <c r="J5">
        <v>7</v>
      </c>
      <c r="K5">
        <v>0</v>
      </c>
      <c r="L5">
        <v>2.1429999999999998</v>
      </c>
      <c r="M5">
        <v>3.4289999999999998</v>
      </c>
    </row>
    <row r="10" spans="1:13">
      <c r="A10">
        <f>C2</f>
        <v>138</v>
      </c>
      <c r="B10">
        <f t="shared" ref="B10:C13" si="0">E2</f>
        <v>235.40600000000001</v>
      </c>
      <c r="C10">
        <f t="shared" si="0"/>
        <v>268.935</v>
      </c>
    </row>
    <row r="11" spans="1:13">
      <c r="A11">
        <f>C3</f>
        <v>331</v>
      </c>
      <c r="B11">
        <f t="shared" si="0"/>
        <v>584.39300000000003</v>
      </c>
      <c r="C11">
        <f t="shared" si="0"/>
        <v>333.48099999999999</v>
      </c>
    </row>
    <row r="12" spans="1:13">
      <c r="A12">
        <f>C4</f>
        <v>24</v>
      </c>
      <c r="B12">
        <f t="shared" si="0"/>
        <v>6.9580000000000002</v>
      </c>
      <c r="C12">
        <f t="shared" si="0"/>
        <v>2.5249999999999999</v>
      </c>
    </row>
    <row r="13" spans="1:13">
      <c r="A13">
        <f>C5</f>
        <v>7</v>
      </c>
      <c r="B13">
        <f t="shared" si="0"/>
        <v>8.2859999999999996</v>
      </c>
      <c r="C13">
        <f t="shared" si="0"/>
        <v>2.25</v>
      </c>
    </row>
    <row r="15" spans="1:13">
      <c r="B15">
        <f>A10*B10</f>
        <v>32486.028000000002</v>
      </c>
    </row>
    <row r="16" spans="1:13">
      <c r="B16">
        <f>A11*B11</f>
        <v>193434.08300000001</v>
      </c>
    </row>
    <row r="17" spans="2:2">
      <c r="B17">
        <f>A12*B12</f>
        <v>166.99200000000002</v>
      </c>
    </row>
    <row r="18" spans="2:2">
      <c r="B18">
        <f>A13*B13</f>
        <v>58.001999999999995</v>
      </c>
    </row>
    <row r="19" spans="2:2">
      <c r="B19">
        <f>SUM(B15:B18)</f>
        <v>226145.10500000001</v>
      </c>
    </row>
    <row r="20" spans="2:2">
      <c r="B20">
        <f>SUM(A10:A13)</f>
        <v>500</v>
      </c>
    </row>
    <row r="21" spans="2:2">
      <c r="B21">
        <f>B19/B20</f>
        <v>452.29021</v>
      </c>
    </row>
    <row r="22" spans="2:2">
      <c r="B22">
        <f>ROUND(B21,2)</f>
        <v>452.29</v>
      </c>
    </row>
    <row r="24" spans="2:2">
      <c r="B24">
        <f>POWER(C10,2)</f>
        <v>72326.034224999996</v>
      </c>
    </row>
    <row r="25" spans="2:2">
      <c r="B25">
        <f>POWER(C11,2)</f>
        <v>111209.577361</v>
      </c>
    </row>
    <row r="26" spans="2:2">
      <c r="B26">
        <f>POWER(C12,2)</f>
        <v>6.3756249999999994</v>
      </c>
    </row>
    <row r="27" spans="2:2">
      <c r="B27">
        <f>POWER(C13,2)</f>
        <v>5.0625</v>
      </c>
    </row>
    <row r="28" spans="2:2">
      <c r="B28">
        <f>POWER(B10,2)</f>
        <v>55415.984836000003</v>
      </c>
    </row>
    <row r="29" spans="2:2">
      <c r="B29">
        <f>POWER(B11,2)</f>
        <v>341515.17844900006</v>
      </c>
    </row>
    <row r="30" spans="2:2">
      <c r="B30">
        <f>POWER(B12,2)</f>
        <v>48.413764</v>
      </c>
    </row>
    <row r="31" spans="2:2">
      <c r="B31">
        <f>POWER(B13,2)</f>
        <v>68.65779599999999</v>
      </c>
    </row>
    <row r="32" spans="2:2">
      <c r="B32">
        <f>B24+B28</f>
        <v>127742.019061</v>
      </c>
    </row>
    <row r="33" spans="2:2">
      <c r="B33">
        <f>B25+B29</f>
        <v>452724.75581000006</v>
      </c>
    </row>
    <row r="34" spans="2:2">
      <c r="B34">
        <f>B26+B30</f>
        <v>54.789389</v>
      </c>
    </row>
    <row r="35" spans="2:2">
      <c r="B35">
        <f>B27+B31</f>
        <v>73.72029599999999</v>
      </c>
    </row>
    <row r="36" spans="2:2">
      <c r="B36">
        <f>A10*B32</f>
        <v>17628398.630417999</v>
      </c>
    </row>
    <row r="37" spans="2:2">
      <c r="B37">
        <f>A11*B33</f>
        <v>149851894.17311001</v>
      </c>
    </row>
    <row r="38" spans="2:2">
      <c r="B38">
        <f>A12*B34</f>
        <v>1314.945336</v>
      </c>
    </row>
    <row r="39" spans="2:2">
      <c r="B39">
        <f>A13*B35</f>
        <v>516.04207199999996</v>
      </c>
    </row>
    <row r="40" spans="2:2">
      <c r="B40">
        <f>SUM(B36:B39)</f>
        <v>167482123.79093602</v>
      </c>
    </row>
    <row r="41" spans="2:2">
      <c r="B41">
        <f>B40/B20</f>
        <v>334964.24758187204</v>
      </c>
    </row>
    <row r="44" spans="2:2">
      <c r="B44">
        <f>B41-POWER(B21,2)</f>
        <v>130397.81352002794</v>
      </c>
    </row>
    <row r="46" spans="2:2">
      <c r="B46">
        <f>SQRT(LN(1+B44/POWER(B21,2)))</f>
        <v>0.70223288076564105</v>
      </c>
    </row>
    <row r="49" spans="2:2">
      <c r="B49">
        <f>LN(B21)-POWER(B46,2)/2</f>
        <v>5.8677585219094031</v>
      </c>
    </row>
    <row r="52" spans="2:2">
      <c r="B52">
        <f>EXP(B49+1.64485*B46)</f>
        <v>1121.9530898847981</v>
      </c>
    </row>
    <row r="53" spans="2:2">
      <c r="B53">
        <f>ROUND(B52,2)</f>
        <v>1121.95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pub-sub-lock-500-ngrinder-resul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2026-03-29T21:46:39Z</dcterms:created>
  <dcterms:modified xsi:type="dcterms:W3CDTF">2026-03-29T21:47:27Z</dcterms:modified>
</cp:coreProperties>
</file>