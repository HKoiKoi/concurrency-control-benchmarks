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pub-sub/"/>
    </mc:Choice>
  </mc:AlternateContent>
  <xr:revisionPtr revIDLastSave="0" documentId="13_ncr:9_{28247B51-A137-EC40-BA9E-40B12F9AF76A}" xr6:coauthVersionLast="47" xr6:coauthVersionMax="47" xr10:uidLastSave="{00000000-0000-0000-0000-000000000000}"/>
  <bookViews>
    <workbookView xWindow="14700" yWindow="660" windowWidth="14700" windowHeight="18460" xr2:uid="{6F98BB4F-5B79-6145-BC59-0FE231DBA501}"/>
  </bookViews>
  <sheets>
    <sheet name="pub-sub-lock-1000-ngrinder-re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24" i="1"/>
  <c r="B32" i="1" s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33" i="1" s="1"/>
  <c r="B11" i="1"/>
  <c r="B29" i="1" s="1"/>
  <c r="A11" i="1"/>
  <c r="B20" i="1" s="1"/>
  <c r="C10" i="1"/>
  <c r="B10" i="1"/>
  <c r="A10" i="1"/>
  <c r="B36" i="1" s="1"/>
  <c r="B16" i="1" l="1"/>
  <c r="B37" i="1"/>
  <c r="B40" i="1" s="1"/>
  <c r="B41" i="1" s="1"/>
  <c r="B44" i="1" s="1"/>
  <c r="B46" i="1" s="1"/>
  <c r="B15" i="1"/>
  <c r="B19" i="1" s="1"/>
  <c r="B21" i="1" s="1"/>
  <c r="B49" i="1" l="1"/>
  <c r="B52" i="1" s="1"/>
  <c r="B53" i="1" s="1"/>
  <c r="B22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<sst xmlns="http://schemas.openxmlformats.org/spreadsheetml/2006/main" count="13" uniqueCount="13">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</sst>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D2F67DE-BF90-DD43-A5E2-06D950CFAF76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D2F67DE-BF90-DD43-A5E2-06D950CFAF76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BD904AF-EACA-E843-9DA1-9AD09E10C75C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BD904AF-EACA-E843-9DA1-9AD09E10C75C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A8F50F-8DEC-2541-AE1E-729E2681B0C6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A8F50F-8DEC-2541-AE1E-729E2681B0C6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2570582-3DA3-F94F-9288-76502513D3AE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2570582-3DA3-F94F-9288-76502513D3AE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3DFAC4B-8AC2-C742-A453-99A39B9AB171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3DFAC4B-8AC2-C742-A453-99A39B9AB171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885C7E8-F1C4-3C49-8ED4-B5B1B799708F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885C7E8-F1C4-3C49-8ED4-B5B1B799708F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B93FAF0-F0E1-BD41-8EF3-35E9556AA451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B93FAF0-F0E1-BD41-8EF3-35E9556AA451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CBEE323-8574-7449-A049-C30163EB884B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CBEE323-8574-7449-A049-C30163EB884B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A4DAE20-9DFE-4B46-835F-AD444A9CB5E6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A4DAE20-9DFE-4B46-835F-AD444A9CB5E6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939EDD1-B3EE-A54F-A6CC-1EC409CFED66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939EDD1-B3EE-A54F-A6CC-1EC409CFED66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654DBFC-8665-774F-AE30-F965C392AC4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654DBFC-8665-774F-AE30-F965C392AC49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6C8E50E-DFE5-684A-8AE6-4703F5C5C22E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6C8E50E-DFE5-684A-8AE6-4703F5C5C22E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EB865E7-F0C4-3842-8506-2F1F3C31608D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EB865E7-F0C4-3842-8506-2F1F3C31608D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44D75F6-1DA5-8C4F-A20E-C11A2A142BC2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44D75F6-1DA5-8C4F-A20E-C11A2A142BC2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1CF3217-6AE1-3E4B-A67E-BB604F53F85C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1CF3217-6AE1-3E4B-A67E-BB604F53F85C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B259D00-8B08-FA4A-A0B9-3CEF6B020D7C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B259D00-8B08-FA4A-A0B9-3CEF6B020D7C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EB8DCF2-1CA0-E249-9FDB-44742D11BB0F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EB8DCF2-1CA0-E249-9FDB-44742D11BB0F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1E85-4981-1D4F-9909-61CD15263107}">
  <dimension ref="A1:M53"/>
  <sheetViews>
    <sheetView tabSelected="1" topLeftCell="A34" workbookViewId="0">
      <selection activeCell="E46" sqref="E46"/>
    </sheetView>
  </sheetViews>
  <sheetFormatPr baseColWidth="10" defaultRowHeight="18"/>
  <cols>
    <col min="1" max="1" width="25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46110.849652777775</v>
      </c>
      <c r="B2">
        <v>859</v>
      </c>
      <c r="C2">
        <v>210</v>
      </c>
      <c r="D2">
        <v>0</v>
      </c>
      <c r="E2">
        <v>722.005</v>
      </c>
      <c r="F2">
        <v>421.18900000000002</v>
      </c>
      <c r="G2">
        <v>105</v>
      </c>
      <c r="H2">
        <v>99.629000000000005</v>
      </c>
      <c r="I2">
        <v>10461</v>
      </c>
      <c r="J2">
        <v>54</v>
      </c>
      <c r="K2">
        <v>0</v>
      </c>
      <c r="L2">
        <v>191.376</v>
      </c>
      <c r="M2">
        <v>274.31400000000002</v>
      </c>
    </row>
    <row r="3" spans="1:13">
      <c r="A3" s="1">
        <v>46110.849675925929</v>
      </c>
      <c r="B3">
        <v>310</v>
      </c>
      <c r="C3">
        <v>480</v>
      </c>
      <c r="D3">
        <v>0</v>
      </c>
      <c r="E3">
        <v>1265.54</v>
      </c>
      <c r="F3">
        <v>617.81299999999999</v>
      </c>
      <c r="G3">
        <v>240</v>
      </c>
      <c r="H3">
        <v>156.93299999999999</v>
      </c>
      <c r="I3">
        <v>37664</v>
      </c>
      <c r="J3">
        <v>436</v>
      </c>
      <c r="K3">
        <v>0</v>
      </c>
      <c r="L3">
        <v>310.89600000000002</v>
      </c>
      <c r="M3">
        <v>406.00799999999998</v>
      </c>
    </row>
    <row r="4" spans="1:13">
      <c r="A4" s="1">
        <v>46110.849699074075</v>
      </c>
      <c r="B4">
        <v>3</v>
      </c>
      <c r="C4">
        <v>307</v>
      </c>
      <c r="D4">
        <v>0</v>
      </c>
      <c r="E4">
        <v>1109.0519999999999</v>
      </c>
      <c r="F4">
        <v>349.50200000000001</v>
      </c>
      <c r="G4">
        <v>153.5</v>
      </c>
      <c r="H4">
        <v>165</v>
      </c>
      <c r="I4">
        <v>25327.5</v>
      </c>
      <c r="J4">
        <v>307</v>
      </c>
      <c r="K4">
        <v>0</v>
      </c>
      <c r="L4">
        <v>264.827</v>
      </c>
      <c r="M4">
        <v>341.36200000000002</v>
      </c>
    </row>
    <row r="5" spans="1:13">
      <c r="A5" s="1">
        <v>46110.849722222221</v>
      </c>
      <c r="B5">
        <v>0</v>
      </c>
      <c r="C5">
        <v>3</v>
      </c>
      <c r="D5">
        <v>0</v>
      </c>
      <c r="E5">
        <v>12.333</v>
      </c>
      <c r="F5">
        <v>1.7</v>
      </c>
      <c r="G5">
        <v>1.5</v>
      </c>
      <c r="H5">
        <v>165</v>
      </c>
      <c r="I5">
        <v>247.5</v>
      </c>
      <c r="J5">
        <v>3</v>
      </c>
      <c r="K5">
        <v>0</v>
      </c>
      <c r="L5">
        <v>3.6669999999999998</v>
      </c>
      <c r="M5">
        <v>5.6669999999999998</v>
      </c>
    </row>
    <row r="10" spans="1:13">
      <c r="A10">
        <f>C2</f>
        <v>210</v>
      </c>
      <c r="B10">
        <f t="shared" ref="B10:C13" si="0">E2</f>
        <v>722.005</v>
      </c>
      <c r="C10">
        <f t="shared" si="0"/>
        <v>421.18900000000002</v>
      </c>
    </row>
    <row r="11" spans="1:13">
      <c r="A11">
        <f>C3</f>
        <v>480</v>
      </c>
      <c r="B11">
        <f t="shared" si="0"/>
        <v>1265.54</v>
      </c>
      <c r="C11">
        <f t="shared" si="0"/>
        <v>617.81299999999999</v>
      </c>
    </row>
    <row r="12" spans="1:13">
      <c r="A12">
        <f>C4</f>
        <v>307</v>
      </c>
      <c r="B12">
        <f t="shared" si="0"/>
        <v>1109.0519999999999</v>
      </c>
      <c r="C12">
        <f t="shared" si="0"/>
        <v>349.50200000000001</v>
      </c>
    </row>
    <row r="13" spans="1:13">
      <c r="A13">
        <f>C5</f>
        <v>3</v>
      </c>
      <c r="B13">
        <f t="shared" si="0"/>
        <v>12.333</v>
      </c>
      <c r="C13">
        <f t="shared" si="0"/>
        <v>1.7</v>
      </c>
    </row>
    <row r="15" spans="1:13">
      <c r="B15">
        <f>A10*B10</f>
        <v>151621.04999999999</v>
      </c>
    </row>
    <row r="16" spans="1:13">
      <c r="B16">
        <f>A11*B11</f>
        <v>607459.19999999995</v>
      </c>
    </row>
    <row r="17" spans="2:2">
      <c r="B17">
        <f>A12*B12</f>
        <v>340478.96399999998</v>
      </c>
    </row>
    <row r="18" spans="2:2">
      <c r="B18">
        <f>A13*B13</f>
        <v>36.999000000000002</v>
      </c>
    </row>
    <row r="19" spans="2:2">
      <c r="B19">
        <f>SUM(B15:B18)</f>
        <v>1099596.213</v>
      </c>
    </row>
    <row r="20" spans="2:2">
      <c r="B20">
        <f>SUM(A10:A13)</f>
        <v>1000</v>
      </c>
    </row>
    <row r="21" spans="2:2">
      <c r="B21">
        <f>B19/B20</f>
        <v>1099.596213</v>
      </c>
    </row>
    <row r="22" spans="2:2">
      <c r="B22">
        <f>ROUND(B21,2)</f>
        <v>1099.5999999999999</v>
      </c>
    </row>
    <row r="24" spans="2:2">
      <c r="B24">
        <f>POWER(C10,2)</f>
        <v>177400.17372100003</v>
      </c>
    </row>
    <row r="25" spans="2:2">
      <c r="B25">
        <f>POWER(C11,2)</f>
        <v>381692.90296899999</v>
      </c>
    </row>
    <row r="26" spans="2:2">
      <c r="B26">
        <f>POWER(C12,2)</f>
        <v>122151.648004</v>
      </c>
    </row>
    <row r="27" spans="2:2">
      <c r="B27">
        <f>POWER(C13,2)</f>
        <v>2.8899999999999997</v>
      </c>
    </row>
    <row r="28" spans="2:2">
      <c r="B28">
        <f>POWER(B10,2)</f>
        <v>521291.22002499999</v>
      </c>
    </row>
    <row r="29" spans="2:2">
      <c r="B29">
        <f>POWER(B11,2)</f>
        <v>1601591.4915999998</v>
      </c>
    </row>
    <row r="30" spans="2:2">
      <c r="B30">
        <f>POWER(B12,2)</f>
        <v>1229996.3387039998</v>
      </c>
    </row>
    <row r="31" spans="2:2">
      <c r="B31">
        <f>POWER(B13,2)</f>
        <v>152.102889</v>
      </c>
    </row>
    <row r="32" spans="2:2">
      <c r="B32">
        <f>B24+B28</f>
        <v>698691.39374600002</v>
      </c>
    </row>
    <row r="33" spans="2:2">
      <c r="B33">
        <f>B25+B29</f>
        <v>1983284.3945689998</v>
      </c>
    </row>
    <row r="34" spans="2:2">
      <c r="B34">
        <f>B26+B30</f>
        <v>1352147.9867079998</v>
      </c>
    </row>
    <row r="35" spans="2:2">
      <c r="B35">
        <f>B27+B31</f>
        <v>154.99288899999999</v>
      </c>
    </row>
    <row r="36" spans="2:2">
      <c r="B36">
        <f>A10*B32</f>
        <v>146725192.68665999</v>
      </c>
    </row>
    <row r="37" spans="2:2">
      <c r="B37">
        <f>A11*B33</f>
        <v>951976509.39311993</v>
      </c>
    </row>
    <row r="38" spans="2:2">
      <c r="B38">
        <f>A12*B34</f>
        <v>415109431.91935593</v>
      </c>
    </row>
    <row r="39" spans="2:2">
      <c r="B39">
        <f>A13*B35</f>
        <v>464.97866699999997</v>
      </c>
    </row>
    <row r="40" spans="2:2">
      <c r="B40">
        <f>SUM(B36:B39)</f>
        <v>1513811598.9778028</v>
      </c>
    </row>
    <row r="41" spans="2:2">
      <c r="B41">
        <f>B40/B20</f>
        <v>1513811.5989778028</v>
      </c>
    </row>
    <row r="44" spans="2:2">
      <c r="B44">
        <f>B41-POWER(B21,2)</f>
        <v>304699.76733386144</v>
      </c>
    </row>
    <row r="46" spans="2:2">
      <c r="B46">
        <f>SQRT(LN(1+B44/POWER(B21,2)))</f>
        <v>0.47407240098616166</v>
      </c>
    </row>
    <row r="49" spans="2:2">
      <c r="B49">
        <f>LN(B21)-POWER(B46,2)/2</f>
        <v>6.8903259916171393</v>
      </c>
    </row>
    <row r="52" spans="2:2">
      <c r="B52">
        <f>EXP(B49+1.64485*B46)</f>
        <v>2143.3042952549649</v>
      </c>
    </row>
    <row r="53" spans="2:2">
      <c r="B53">
        <f>ROUND(B52,2)</f>
        <v>2143.3000000000002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pub-sub-lock-1000-ngrinder-resu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2026-03-29T21:49:07Z</dcterms:created>
  <dcterms:modified xsi:type="dcterms:W3CDTF">2026-03-29T21:50:01Z</dcterms:modified>
</cp:coreProperties>
</file>