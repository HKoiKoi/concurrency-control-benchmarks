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4th-test/pessimistic/"/>
    </mc:Choice>
  </mc:AlternateContent>
  <xr:revisionPtr revIDLastSave="0" documentId="13_ncr:1_{A4B5F41D-63AE-F449-85FF-BD2D5A6A0E8B}" xr6:coauthVersionLast="47" xr6:coauthVersionMax="47" xr10:uidLastSave="{00000000-0000-0000-0000-000000000000}"/>
  <bookViews>
    <workbookView xWindow="14700" yWindow="660" windowWidth="14700" windowHeight="18460" xr2:uid="{D822C615-7A59-2446-B4F0-121709C6A7C0}"/>
  </bookViews>
  <sheets>
    <sheet name="pessimistic-lock-800-ngrinder-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27" i="1"/>
  <c r="B35" i="1" s="1"/>
  <c r="B39" i="1" s="1"/>
  <c r="B18" i="1"/>
  <c r="B17" i="1"/>
  <c r="C13" i="1"/>
  <c r="B13" i="1"/>
  <c r="A13" i="1"/>
  <c r="C12" i="1"/>
  <c r="B26" i="1" s="1"/>
  <c r="B34" i="1" s="1"/>
  <c r="B38" i="1" s="1"/>
  <c r="B12" i="1"/>
  <c r="A12" i="1"/>
  <c r="C11" i="1"/>
  <c r="B25" i="1" s="1"/>
  <c r="B11" i="1"/>
  <c r="B29" i="1" s="1"/>
  <c r="A11" i="1"/>
  <c r="B20" i="1" s="1"/>
  <c r="C10" i="1"/>
  <c r="B24" i="1" s="1"/>
  <c r="B32" i="1" s="1"/>
  <c r="B10" i="1"/>
  <c r="A10" i="1"/>
  <c r="B36" i="1" l="1"/>
  <c r="B33" i="1"/>
  <c r="B37" i="1"/>
  <c r="B16" i="1"/>
  <c r="B15" i="1"/>
  <c r="B19" i="1" s="1"/>
  <c r="B21" i="1" s="1"/>
  <c r="B22" i="1" l="1"/>
  <c r="B40" i="1"/>
  <c r="B41" i="1" s="1"/>
  <c r="B44" i="1" s="1"/>
  <c r="B46" i="1" s="1"/>
  <c r="B49" i="1" s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<sst xmlns="http://schemas.openxmlformats.org/spreadsheetml/2006/main" count="13" uniqueCount="13">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</sst>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6F5BB7F-9D23-6E41-8B3B-3C30F8E8E5CC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6F5BB7F-9D23-6E41-8B3B-3C30F8E8E5CC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1457A78-F28B-D34B-B856-766602B1A393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1457A78-F28B-D34B-B856-766602B1A393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95902A5-1B58-DA4C-96B3-DAAF3CEFE867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95902A5-1B58-DA4C-96B3-DAAF3CEFE867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39BF52E-D617-2140-9F12-632269106E2F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39BF52E-D617-2140-9F12-632269106E2F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01CD1BD-13AF-934D-B946-AE3711A1195F}"/>
                </a:ext>
              </a:extLst>
            </xdr:cNvPr>
            <xdr:cNvSpPr txBox="1"/>
          </xdr:nvSpPr>
          <xdr:spPr>
            <a:xfrm>
              <a:off x="22987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01CD1BD-13AF-934D-B946-AE3711A1195F}"/>
                </a:ext>
              </a:extLst>
            </xdr:cNvPr>
            <xdr:cNvSpPr txBox="1"/>
          </xdr:nvSpPr>
          <xdr:spPr>
            <a:xfrm>
              <a:off x="22987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FDC2898-E76D-D34A-96F6-0EAF06A1ADC2}"/>
                </a:ext>
              </a:extLst>
            </xdr:cNvPr>
            <xdr:cNvSpPr txBox="1"/>
          </xdr:nvSpPr>
          <xdr:spPr>
            <a:xfrm>
              <a:off x="34290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FDC2898-E76D-D34A-96F6-0EAF06A1ADC2}"/>
                </a:ext>
              </a:extLst>
            </xdr:cNvPr>
            <xdr:cNvSpPr txBox="1"/>
          </xdr:nvSpPr>
          <xdr:spPr>
            <a:xfrm>
              <a:off x="34290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6D2CD91-9D7B-C74A-B939-82F6A4AA9006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6D2CD91-9D7B-C74A-B939-82F6A4AA9006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8073D0E-6270-FE49-B068-1A94B13FE38C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8073D0E-6270-FE49-B068-1A94B13FE38C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EFD39AF-3646-A340-8212-6A5B18BFE535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EFD39AF-3646-A340-8212-6A5B18BFE535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2D548C8-A36D-FE4D-B699-E5D9733C9F41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2D548C8-A36D-FE4D-B699-E5D9733C9F41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2D4081-5FD1-C643-8641-126098A64A89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2D4081-5FD1-C643-8641-126098A64A89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A0350E4-F82B-5741-9823-08F60E01A185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A0350E4-F82B-5741-9823-08F60E01A185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EF36661-1CCA-E44D-95EE-C11C3C214614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EF36661-1CCA-E44D-95EE-C11C3C214614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2B7DD8F-5982-9E4F-ACC5-4E80DAD572ED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2B7DD8F-5982-9E4F-ACC5-4E80DAD572ED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25B56B3-7F57-E24A-9B51-3E07E4D358B7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25B56B3-7F57-E24A-9B51-3E07E4D358B7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4B46F14-C68B-F649-AB73-86EA1D131F57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4B46F14-C68B-F649-AB73-86EA1D131F57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7E0B113-24D4-2E41-AAAA-2B304ECE57EF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7E0B113-24D4-2E41-AAAA-2B304ECE57EF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8BC6-064D-E84D-AB6A-DEBD9F3753C7}">
  <dimension ref="A1:M53"/>
  <sheetViews>
    <sheetView tabSelected="1" workbookViewId="0">
      <selection activeCell="E6" sqref="E6"/>
    </sheetView>
  </sheetViews>
  <sheetFormatPr baseColWidth="10" defaultRowHeight="18"/>
  <cols>
    <col min="1" max="1" width="25.42578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46110.801030092596</v>
      </c>
      <c r="B2">
        <v>703</v>
      </c>
      <c r="C2">
        <v>187</v>
      </c>
      <c r="D2">
        <v>0</v>
      </c>
      <c r="E2">
        <v>1151.23</v>
      </c>
      <c r="F2">
        <v>682.99400000000003</v>
      </c>
      <c r="G2">
        <v>93.5</v>
      </c>
      <c r="H2">
        <v>81</v>
      </c>
      <c r="I2">
        <v>7573.5</v>
      </c>
      <c r="J2">
        <v>0</v>
      </c>
      <c r="K2">
        <v>0</v>
      </c>
      <c r="L2">
        <v>293.05900000000003</v>
      </c>
      <c r="M2">
        <v>405.02699999999999</v>
      </c>
    </row>
    <row r="3" spans="1:13">
      <c r="A3" s="1">
        <v>46110.801053240742</v>
      </c>
      <c r="B3">
        <v>194</v>
      </c>
      <c r="C3">
        <v>571</v>
      </c>
      <c r="D3">
        <v>0</v>
      </c>
      <c r="E3">
        <v>1406.921</v>
      </c>
      <c r="F3">
        <v>512.69600000000003</v>
      </c>
      <c r="G3">
        <v>285.5</v>
      </c>
      <c r="H3">
        <v>163.08799999999999</v>
      </c>
      <c r="I3">
        <v>46561.5</v>
      </c>
      <c r="J3">
        <v>558</v>
      </c>
      <c r="K3">
        <v>0</v>
      </c>
      <c r="L3">
        <v>332.315</v>
      </c>
      <c r="M3">
        <v>477.48</v>
      </c>
    </row>
    <row r="4" spans="1:13">
      <c r="A4" s="1">
        <v>46110.801076388889</v>
      </c>
      <c r="B4">
        <v>2</v>
      </c>
      <c r="C4">
        <v>41</v>
      </c>
      <c r="D4">
        <v>0</v>
      </c>
      <c r="E4">
        <v>585.61</v>
      </c>
      <c r="F4">
        <v>368.03100000000001</v>
      </c>
      <c r="G4">
        <v>20.5</v>
      </c>
      <c r="H4">
        <v>165</v>
      </c>
      <c r="I4">
        <v>3382.5</v>
      </c>
      <c r="J4">
        <v>41</v>
      </c>
      <c r="K4">
        <v>0</v>
      </c>
      <c r="L4">
        <v>118.19499999999999</v>
      </c>
      <c r="M4">
        <v>205.07300000000001</v>
      </c>
    </row>
    <row r="5" spans="1:13">
      <c r="A5" s="1">
        <v>46110.801099537035</v>
      </c>
      <c r="B5">
        <v>0</v>
      </c>
      <c r="C5">
        <v>1</v>
      </c>
      <c r="D5">
        <v>0</v>
      </c>
      <c r="E5">
        <v>11</v>
      </c>
      <c r="F5">
        <v>0</v>
      </c>
      <c r="G5">
        <v>0.5</v>
      </c>
      <c r="H5">
        <v>165</v>
      </c>
      <c r="I5">
        <v>82.5</v>
      </c>
      <c r="J5">
        <v>1</v>
      </c>
      <c r="K5">
        <v>0</v>
      </c>
      <c r="L5">
        <v>4</v>
      </c>
      <c r="M5">
        <v>5</v>
      </c>
    </row>
    <row r="10" spans="1:13">
      <c r="A10">
        <f>C2</f>
        <v>187</v>
      </c>
      <c r="B10">
        <f t="shared" ref="B10:C13" si="0">E2</f>
        <v>1151.23</v>
      </c>
      <c r="C10">
        <f t="shared" si="0"/>
        <v>682.99400000000003</v>
      </c>
    </row>
    <row r="11" spans="1:13">
      <c r="A11">
        <f>C3</f>
        <v>571</v>
      </c>
      <c r="B11">
        <f t="shared" si="0"/>
        <v>1406.921</v>
      </c>
      <c r="C11">
        <f t="shared" si="0"/>
        <v>512.69600000000003</v>
      </c>
    </row>
    <row r="12" spans="1:13">
      <c r="A12">
        <f>C4</f>
        <v>41</v>
      </c>
      <c r="B12">
        <f t="shared" si="0"/>
        <v>585.61</v>
      </c>
      <c r="C12">
        <f t="shared" si="0"/>
        <v>368.03100000000001</v>
      </c>
    </row>
    <row r="13" spans="1:13">
      <c r="A13">
        <f>C5</f>
        <v>1</v>
      </c>
      <c r="B13">
        <f t="shared" si="0"/>
        <v>11</v>
      </c>
      <c r="C13">
        <f t="shared" si="0"/>
        <v>0</v>
      </c>
    </row>
    <row r="15" spans="1:13">
      <c r="B15">
        <f>A10*B10</f>
        <v>215280.01</v>
      </c>
    </row>
    <row r="16" spans="1:13">
      <c r="B16">
        <f>A11*B11</f>
        <v>803351.89100000006</v>
      </c>
    </row>
    <row r="17" spans="2:2">
      <c r="B17">
        <f>A12*B12</f>
        <v>24010.010000000002</v>
      </c>
    </row>
    <row r="18" spans="2:2">
      <c r="B18">
        <f>A13*B13</f>
        <v>11</v>
      </c>
    </row>
    <row r="19" spans="2:2">
      <c r="B19">
        <f>SUM(B15:B18)</f>
        <v>1042652.9110000001</v>
      </c>
    </row>
    <row r="20" spans="2:2">
      <c r="B20">
        <f>SUM(A10:A13)</f>
        <v>800</v>
      </c>
    </row>
    <row r="21" spans="2:2">
      <c r="B21">
        <f>B19/B20</f>
        <v>1303.3161387500002</v>
      </c>
    </row>
    <row r="22" spans="2:2">
      <c r="B22">
        <f>ROUND(B21,2)</f>
        <v>1303.32</v>
      </c>
    </row>
    <row r="24" spans="2:2">
      <c r="B24">
        <f>POWER(C10,2)</f>
        <v>466480.80403600005</v>
      </c>
    </row>
    <row r="25" spans="2:2">
      <c r="B25">
        <f>POWER(C11,2)</f>
        <v>262857.18841600005</v>
      </c>
    </row>
    <row r="26" spans="2:2">
      <c r="B26">
        <f>POWER(C12,2)</f>
        <v>135446.816961</v>
      </c>
    </row>
    <row r="27" spans="2:2">
      <c r="B27">
        <f>POWER(C13,2)</f>
        <v>0</v>
      </c>
    </row>
    <row r="28" spans="2:2">
      <c r="B28">
        <f>POWER(B10,2)</f>
        <v>1325330.5129</v>
      </c>
    </row>
    <row r="29" spans="2:2">
      <c r="B29">
        <f>POWER(B11,2)</f>
        <v>1979426.7002410002</v>
      </c>
    </row>
    <row r="30" spans="2:2">
      <c r="B30">
        <f>POWER(B12,2)</f>
        <v>342939.07209999999</v>
      </c>
    </row>
    <row r="31" spans="2:2">
      <c r="B31">
        <f>POWER(B13,2)</f>
        <v>121</v>
      </c>
    </row>
    <row r="32" spans="2:2">
      <c r="B32">
        <f>B24+B28</f>
        <v>1791811.316936</v>
      </c>
    </row>
    <row r="33" spans="2:2">
      <c r="B33">
        <f>B25+B29</f>
        <v>2242283.8886570004</v>
      </c>
    </row>
    <row r="34" spans="2:2">
      <c r="B34">
        <f>B26+B30</f>
        <v>478385.88906099997</v>
      </c>
    </row>
    <row r="35" spans="2:2">
      <c r="B35">
        <f>B27+B31</f>
        <v>121</v>
      </c>
    </row>
    <row r="36" spans="2:2">
      <c r="B36">
        <f>A10*B32</f>
        <v>335068716.26703203</v>
      </c>
    </row>
    <row r="37" spans="2:2">
      <c r="B37">
        <f>A11*B33</f>
        <v>1280344100.4231472</v>
      </c>
    </row>
    <row r="38" spans="2:2">
      <c r="B38">
        <f>A12*B34</f>
        <v>19613821.451500997</v>
      </c>
    </row>
    <row r="39" spans="2:2">
      <c r="B39">
        <f>A13*B35</f>
        <v>121</v>
      </c>
    </row>
    <row r="40" spans="2:2">
      <c r="B40">
        <f>SUM(B36:B39)</f>
        <v>1635026759.1416802</v>
      </c>
    </row>
    <row r="41" spans="2:2">
      <c r="B41">
        <f>B40/B20</f>
        <v>2043783.4489271003</v>
      </c>
    </row>
    <row r="44" spans="2:2">
      <c r="B44">
        <f>B41-POWER(B21,2)</f>
        <v>345150.49140089052</v>
      </c>
    </row>
    <row r="46" spans="2:2">
      <c r="B46">
        <f>SQRT(LN(1+B44/POWER(B21,2)))</f>
        <v>0.43009177746453336</v>
      </c>
    </row>
    <row r="49" spans="2:2">
      <c r="B49">
        <f>LN(B21)-POWER(B46,2)/2</f>
        <v>7.0801777029280402</v>
      </c>
    </row>
    <row r="52" spans="2:2">
      <c r="B52">
        <f>EXP(B49+1.64485*B46)</f>
        <v>2410.5595141595109</v>
      </c>
    </row>
    <row r="53" spans="2:2">
      <c r="B53">
        <f>ROUND(B52,2)</f>
        <v>2410.56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pessimistic-lock-800-ngrinder-r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2026-03-29T19:57:08Z</dcterms:created>
  <dcterms:modified xsi:type="dcterms:W3CDTF">2026-03-29T21:16:52Z</dcterms:modified>
</cp:coreProperties>
</file>