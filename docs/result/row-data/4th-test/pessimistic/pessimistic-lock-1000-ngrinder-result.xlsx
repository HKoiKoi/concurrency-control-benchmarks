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4th-test/pessimistic/"/>
    </mc:Choice>
  </mc:AlternateContent>
  <xr:revisionPtr revIDLastSave="0" documentId="13_ncr:1_{E2989BAF-875F-9840-8397-81361F2E076C}" xr6:coauthVersionLast="47" xr6:coauthVersionMax="47" xr10:uidLastSave="{00000000-0000-0000-0000-000000000000}"/>
  <bookViews>
    <workbookView xWindow="14700" yWindow="660" windowWidth="14700" windowHeight="18460" xr2:uid="{2B2F2CF9-F808-4D49-AD73-8A0FC88EFAD9}"/>
  </bookViews>
  <sheets>
    <sheet name="pessimistic-lock-1000-ngrinder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B34" i="1"/>
  <c r="B29" i="1"/>
  <c r="B39" i="1" s="1"/>
  <c r="B44" i="1" s="1"/>
  <c r="B23" i="1"/>
  <c r="C15" i="1"/>
  <c r="B31" i="1" s="1"/>
  <c r="B15" i="1"/>
  <c r="B36" i="1" s="1"/>
  <c r="A15" i="1"/>
  <c r="C14" i="1"/>
  <c r="B30" i="1" s="1"/>
  <c r="B40" i="1" s="1"/>
  <c r="B45" i="1" s="1"/>
  <c r="B14" i="1"/>
  <c r="A14" i="1"/>
  <c r="B20" i="1" s="1"/>
  <c r="C13" i="1"/>
  <c r="B13" i="1"/>
  <c r="A13" i="1"/>
  <c r="B19" i="1" s="1"/>
  <c r="C12" i="1"/>
  <c r="B28" i="1" s="1"/>
  <c r="B12" i="1"/>
  <c r="B33" i="1" s="1"/>
  <c r="A12" i="1"/>
  <c r="C11" i="1"/>
  <c r="B27" i="1" s="1"/>
  <c r="B11" i="1"/>
  <c r="B17" i="1" s="1"/>
  <c r="A11" i="1"/>
  <c r="B41" i="1" l="1"/>
  <c r="B46" i="1" s="1"/>
  <c r="B38" i="1"/>
  <c r="B43" i="1" s="1"/>
  <c r="B18" i="1"/>
  <c r="B22" i="1" s="1"/>
  <c r="B24" i="1" s="1"/>
  <c r="B21" i="1"/>
  <c r="B32" i="1"/>
  <c r="B37" i="1" s="1"/>
  <c r="B42" i="1" s="1"/>
  <c r="B47" i="1" s="1"/>
  <c r="B48" i="1" s="1"/>
  <c r="B51" i="1" s="1"/>
  <c r="B53" i="1" s="1"/>
  <c r="B56" i="1" l="1"/>
  <c r="B59" i="1" s="1"/>
  <c r="B60" i="1" s="1"/>
  <c r="B25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<sst xmlns="http://schemas.openxmlformats.org/spreadsheetml/2006/main" count="13" uniqueCount="13">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</sst>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F154120-B1FA-634D-9E33-766D9F3DFFF9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6F154120-B1FA-634D-9E33-766D9F3DFFF9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15E474B-9D52-C440-A76E-92E561F00771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15E474B-9D52-C440-A76E-92E561F00771}"/>
                </a:ext>
              </a:extLst>
            </xdr:cNvPr>
            <xdr:cNvSpPr txBox="1"/>
          </xdr:nvSpPr>
          <xdr:spPr>
            <a:xfrm>
              <a:off x="2692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F4AD803-1552-8545-9CBB-32D275DFDEA9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7F4AD803-1552-8545-9CBB-32D275DFDEA9}"/>
                </a:ext>
              </a:extLst>
            </xdr:cNvPr>
            <xdr:cNvSpPr txBox="1"/>
          </xdr:nvSpPr>
          <xdr:spPr>
            <a:xfrm>
              <a:off x="40005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0CC7858-5B6D-3440-82B0-45A3D5F56684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80CC7858-5B6D-3440-82B0-45A3D5F56684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5A7DABE-9C3E-B948-8F1F-8184D74E2E3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D5A7DABE-9C3E-B948-8F1F-8184D74E2E3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C6E1DE6-CCDE-B045-8E76-B7FD61DCAE57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C6E1DE6-CCDE-B045-8E76-B7FD61DCAE57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918F440-1676-414F-958F-88466A7E232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918F440-1676-414F-958F-88466A7E2321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3C5DA02-0F85-9E4A-8167-656D8054E9B7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A3C5DA02-0F85-9E4A-8167-656D8054E9B7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A396825-9F00-A540-B8EE-3DA03CB279CB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2A396825-9F00-A540-B8EE-3DA03CB279CB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5A9750B-F2C3-A04F-8BC2-FB6453E1E7E1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E5A9750B-F2C3-A04F-8BC2-FB6453E1E7E1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684B1D1-DE79-6B42-99E1-A7D1B9DFC83D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C684B1D1-DE79-6B42-99E1-A7D1B9DFC83D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19866563-C5F6-7B4C-9602-12BB8CA15AF6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19866563-C5F6-7B4C-9602-12BB8CA15AF6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8F78142-0F15-F342-B559-290E608102B4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8F78142-0F15-F342-B559-290E608102B4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37EC03F-E4E8-2A41-BA72-095282652431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037EC03F-E4E8-2A41-BA72-095282652431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6CA424F-8863-9847-A8B2-9C1A61B91A3C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6CA424F-8863-9847-A8B2-9C1A61B91A3C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19E5332-E7FB-644C-A241-939CAA7030B5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119E5332-E7FB-644C-A241-939CAA7030B5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56C279E-7219-4B4A-AFFE-F433CA481FEC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856C279E-7219-4B4A-AFFE-F433CA481FEC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D39F3-05C0-9B40-9879-7D909F8AE156}">
  <dimension ref="A1:M60"/>
  <sheetViews>
    <sheetView tabSelected="1" workbookViewId="0">
      <selection activeCell="A7" sqref="A7:D103"/>
    </sheetView>
  </sheetViews>
  <sheetFormatPr baseColWidth="10" defaultRowHeight="18"/>
  <cols>
    <col min="1" max="1" width="24.28515625" customWidth="1"/>
    <col min="2" max="2" width="12.7109375" bestFit="1" customWidth="1"/>
    <col min="3" max="3" width="8.7109375" bestFit="1" customWidth="1"/>
    <col min="4" max="4" width="6" bestFit="1" customWidth="1"/>
    <col min="5" max="5" width="18.85546875" bestFit="1" customWidth="1"/>
    <col min="6" max="6" width="30.5703125" bestFit="1" customWidth="1"/>
    <col min="7" max="7" width="6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46110.807939814818</v>
      </c>
      <c r="B2">
        <v>922</v>
      </c>
      <c r="C2">
        <v>252</v>
      </c>
      <c r="D2">
        <v>0</v>
      </c>
      <c r="E2">
        <v>919.53599999999994</v>
      </c>
      <c r="F2">
        <v>633.51800000000003</v>
      </c>
      <c r="G2">
        <v>126</v>
      </c>
      <c r="H2">
        <v>101.667</v>
      </c>
      <c r="I2">
        <v>12810</v>
      </c>
      <c r="J2">
        <v>62</v>
      </c>
      <c r="K2">
        <v>0</v>
      </c>
      <c r="L2">
        <v>178.333</v>
      </c>
      <c r="M2">
        <v>298.00400000000002</v>
      </c>
    </row>
    <row r="3" spans="1:13">
      <c r="A3" s="1">
        <v>46110.807962962965</v>
      </c>
      <c r="B3">
        <v>612</v>
      </c>
      <c r="C3">
        <v>136</v>
      </c>
      <c r="D3">
        <v>0</v>
      </c>
      <c r="E3">
        <v>940.61</v>
      </c>
      <c r="F3">
        <v>640.78700000000003</v>
      </c>
      <c r="G3">
        <v>68</v>
      </c>
      <c r="H3">
        <v>158.82400000000001</v>
      </c>
      <c r="I3">
        <v>10800</v>
      </c>
      <c r="J3">
        <v>126</v>
      </c>
      <c r="K3">
        <v>0</v>
      </c>
      <c r="L3">
        <v>268.25700000000001</v>
      </c>
      <c r="M3">
        <v>321.45600000000002</v>
      </c>
    </row>
    <row r="4" spans="1:13">
      <c r="A4" s="1">
        <v>46110.807986111111</v>
      </c>
      <c r="B4">
        <v>138</v>
      </c>
      <c r="C4">
        <v>484</v>
      </c>
      <c r="D4">
        <v>0</v>
      </c>
      <c r="E4">
        <v>1202.7739999999999</v>
      </c>
      <c r="F4">
        <v>529.75800000000004</v>
      </c>
      <c r="G4">
        <v>241.5</v>
      </c>
      <c r="H4">
        <v>165</v>
      </c>
      <c r="I4">
        <v>39847.5</v>
      </c>
      <c r="J4">
        <v>483</v>
      </c>
      <c r="K4">
        <v>0</v>
      </c>
      <c r="L4">
        <v>323.166</v>
      </c>
      <c r="M4">
        <v>424.96300000000002</v>
      </c>
    </row>
    <row r="5" spans="1:13">
      <c r="A5" s="1">
        <v>46110.808009259257</v>
      </c>
      <c r="B5">
        <v>7</v>
      </c>
      <c r="C5">
        <v>121</v>
      </c>
      <c r="D5">
        <v>0</v>
      </c>
      <c r="E5">
        <v>813.27300000000002</v>
      </c>
      <c r="F5">
        <v>303.96699999999998</v>
      </c>
      <c r="G5">
        <v>60.5</v>
      </c>
      <c r="H5">
        <v>165</v>
      </c>
      <c r="I5">
        <v>9982.5</v>
      </c>
      <c r="J5">
        <v>121</v>
      </c>
      <c r="K5">
        <v>0</v>
      </c>
      <c r="L5">
        <v>253.86799999999999</v>
      </c>
      <c r="M5">
        <v>340.86</v>
      </c>
    </row>
    <row r="6" spans="1:13">
      <c r="A6" s="1">
        <v>46110.808032407411</v>
      </c>
      <c r="B6">
        <v>0</v>
      </c>
      <c r="C6">
        <v>7</v>
      </c>
      <c r="D6">
        <v>0</v>
      </c>
      <c r="E6">
        <v>10.143000000000001</v>
      </c>
      <c r="F6">
        <v>3.1360000000000001</v>
      </c>
      <c r="G6">
        <v>3.5</v>
      </c>
      <c r="H6">
        <v>165</v>
      </c>
      <c r="I6">
        <v>577.5</v>
      </c>
      <c r="J6">
        <v>7</v>
      </c>
      <c r="K6">
        <v>0</v>
      </c>
      <c r="L6">
        <v>3.1429999999999998</v>
      </c>
      <c r="M6">
        <v>5</v>
      </c>
    </row>
    <row r="11" spans="1:13">
      <c r="A11">
        <f>C2</f>
        <v>252</v>
      </c>
      <c r="B11">
        <f t="shared" ref="B11:C15" si="0">E2</f>
        <v>919.53599999999994</v>
      </c>
      <c r="C11">
        <f t="shared" si="0"/>
        <v>633.51800000000003</v>
      </c>
    </row>
    <row r="12" spans="1:13">
      <c r="A12">
        <f>C3</f>
        <v>136</v>
      </c>
      <c r="B12">
        <f t="shared" si="0"/>
        <v>940.61</v>
      </c>
      <c r="C12">
        <f t="shared" si="0"/>
        <v>640.78700000000003</v>
      </c>
    </row>
    <row r="13" spans="1:13">
      <c r="A13">
        <f>C4</f>
        <v>484</v>
      </c>
      <c r="B13">
        <f t="shared" si="0"/>
        <v>1202.7739999999999</v>
      </c>
      <c r="C13">
        <f t="shared" si="0"/>
        <v>529.75800000000004</v>
      </c>
    </row>
    <row r="14" spans="1:13">
      <c r="A14">
        <f>C5</f>
        <v>121</v>
      </c>
      <c r="B14">
        <f t="shared" si="0"/>
        <v>813.27300000000002</v>
      </c>
      <c r="C14">
        <f t="shared" si="0"/>
        <v>303.96699999999998</v>
      </c>
    </row>
    <row r="15" spans="1:13">
      <c r="A15">
        <f>C6</f>
        <v>7</v>
      </c>
      <c r="B15">
        <f t="shared" si="0"/>
        <v>10.143000000000001</v>
      </c>
      <c r="C15">
        <f t="shared" si="0"/>
        <v>3.1360000000000001</v>
      </c>
    </row>
    <row r="17" spans="2:2">
      <c r="B17">
        <f>A11*B11</f>
        <v>231723.07199999999</v>
      </c>
    </row>
    <row r="18" spans="2:2">
      <c r="B18">
        <f>A12*B12</f>
        <v>127922.96</v>
      </c>
    </row>
    <row r="19" spans="2:2">
      <c r="B19">
        <f>A13*B13</f>
        <v>582142.61599999992</v>
      </c>
    </row>
    <row r="20" spans="2:2">
      <c r="B20">
        <f>A14*B14</f>
        <v>98406.032999999996</v>
      </c>
    </row>
    <row r="21" spans="2:2">
      <c r="B21">
        <f>A15*B15</f>
        <v>71.001000000000005</v>
      </c>
    </row>
    <row r="22" spans="2:2">
      <c r="B22">
        <f>SUM(B17:B21)</f>
        <v>1040265.6819999999</v>
      </c>
    </row>
    <row r="23" spans="2:2">
      <c r="B23">
        <f>SUM(A11:A15)</f>
        <v>1000</v>
      </c>
    </row>
    <row r="24" spans="2:2">
      <c r="B24">
        <f>B22/B23</f>
        <v>1040.265682</v>
      </c>
    </row>
    <row r="25" spans="2:2">
      <c r="B25">
        <f>ROUND(B24,2)</f>
        <v>1040.27</v>
      </c>
    </row>
    <row r="27" spans="2:2">
      <c r="B27">
        <f>POWER(C11,2)</f>
        <v>401345.05632400006</v>
      </c>
    </row>
    <row r="28" spans="2:2">
      <c r="B28">
        <f>POWER(C12,2)</f>
        <v>410607.97936900007</v>
      </c>
    </row>
    <row r="29" spans="2:2">
      <c r="B29">
        <f>POWER(C13,2)</f>
        <v>280643.53856400005</v>
      </c>
    </row>
    <row r="30" spans="2:2">
      <c r="B30">
        <f>POWER(C14,2)</f>
        <v>92395.937088999985</v>
      </c>
    </row>
    <row r="31" spans="2:2">
      <c r="B31">
        <f>POWER(C15,2)</f>
        <v>9.8344960000000015</v>
      </c>
    </row>
    <row r="32" spans="2:2">
      <c r="B32">
        <f>POWER(B11,2)</f>
        <v>845546.45529599988</v>
      </c>
    </row>
    <row r="33" spans="2:2">
      <c r="B33">
        <f>POWER(B12,2)</f>
        <v>884747.17210000008</v>
      </c>
    </row>
    <row r="34" spans="2:2">
      <c r="B34">
        <f>POWER(B13,2)</f>
        <v>1446665.2950759998</v>
      </c>
    </row>
    <row r="35" spans="2:2">
      <c r="B35">
        <f>POWER(B14,2)</f>
        <v>661412.97252900002</v>
      </c>
    </row>
    <row r="36" spans="2:2">
      <c r="B36">
        <f>POWER(B15,2)</f>
        <v>102.88044900000001</v>
      </c>
    </row>
    <row r="37" spans="2:2">
      <c r="B37">
        <f>B27+B32</f>
        <v>1246891.51162</v>
      </c>
    </row>
    <row r="38" spans="2:2">
      <c r="B38">
        <f>B28+B33</f>
        <v>1295355.1514690001</v>
      </c>
    </row>
    <row r="39" spans="2:2">
      <c r="B39">
        <f>B29+B34</f>
        <v>1727308.8336399999</v>
      </c>
    </row>
    <row r="40" spans="2:2">
      <c r="B40">
        <f>B30+B35</f>
        <v>753808.90961800003</v>
      </c>
    </row>
    <row r="41" spans="2:2">
      <c r="B41">
        <f>B31+B36</f>
        <v>112.71494500000001</v>
      </c>
    </row>
    <row r="42" spans="2:2">
      <c r="B42">
        <f>A11*B37</f>
        <v>314216660.92824</v>
      </c>
    </row>
    <row r="43" spans="2:2">
      <c r="B43">
        <f>A12*B38</f>
        <v>176168300.59978402</v>
      </c>
    </row>
    <row r="44" spans="2:2">
      <c r="B44">
        <f>A13*B39</f>
        <v>836017475.48175991</v>
      </c>
    </row>
    <row r="45" spans="2:2">
      <c r="B45">
        <f>A14*B40</f>
        <v>91210878.063777998</v>
      </c>
    </row>
    <row r="46" spans="2:2">
      <c r="B46">
        <f>A15*B41</f>
        <v>789.00461500000006</v>
      </c>
    </row>
    <row r="47" spans="2:2">
      <c r="B47">
        <f>SUM(B42:B46)</f>
        <v>1417614104.078177</v>
      </c>
    </row>
    <row r="48" spans="2:2">
      <c r="B48">
        <f>B47/B23</f>
        <v>1417614.1040781769</v>
      </c>
    </row>
    <row r="51" spans="2:2">
      <c r="B51">
        <f>B48-POWER(B24,2)</f>
        <v>335461.4149312519</v>
      </c>
    </row>
    <row r="53" spans="2:2">
      <c r="B53">
        <f>SQRT(LN(1+B51/POWER(B24,2)))</f>
        <v>0.5196373370968389</v>
      </c>
    </row>
    <row r="56" spans="2:2">
      <c r="B56">
        <f>LN(B24)-POWER(B53,2)/2</f>
        <v>6.8122199419191762</v>
      </c>
    </row>
    <row r="59" spans="2:2">
      <c r="B59">
        <f>EXP(B56+1.64485*B53)</f>
        <v>2136.5452104395858</v>
      </c>
    </row>
    <row r="60" spans="2:2">
      <c r="B60">
        <f>ROUND(B59,2)</f>
        <v>2136.5500000000002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pessimistic-lock-1000-ngrinder-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2026-03-29T20:01:57Z</dcterms:created>
  <dcterms:modified xsi:type="dcterms:W3CDTF">2026-03-29T21:19:48Z</dcterms:modified>
</cp:coreProperties>
</file>