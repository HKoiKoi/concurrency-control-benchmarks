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pessimistic/"/>
    </mc:Choice>
  </mc:AlternateContent>
  <xr:revisionPtr revIDLastSave="0" documentId="13_ncr:1_{3D0154A3-A128-8A46-9523-C8C3FCC043A2}" xr6:coauthVersionLast="47" xr6:coauthVersionMax="47" xr10:uidLastSave="{00000000-0000-0000-0000-000000000000}"/>
  <bookViews>
    <workbookView xWindow="14700" yWindow="660" windowWidth="14700" windowHeight="18460" xr2:uid="{2F0E9F76-AF42-1B43-A7EB-6F156299A2D2}"/>
  </bookViews>
  <sheets>
    <sheet name="pessimistic-lock-5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B73" i="1"/>
  <c r="B70" i="1"/>
  <c r="B67" i="1"/>
  <c r="B65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1" i="1"/>
  <c r="B30" i="1"/>
  <c r="B29" i="1"/>
  <c r="B28" i="1"/>
  <c r="B27" i="1"/>
  <c r="B26" i="1"/>
  <c r="B25" i="1"/>
  <c r="B24" i="1"/>
  <c r="B23" i="1"/>
  <c r="B22" i="1"/>
  <c r="B21" i="1"/>
  <c r="C19" i="1"/>
  <c r="C18" i="1"/>
  <c r="C17" i="1"/>
  <c r="C16" i="1"/>
  <c r="C15" i="1"/>
  <c r="C14" i="1"/>
  <c r="C13" i="1"/>
  <c r="B19" i="1"/>
  <c r="B18" i="1"/>
  <c r="B17" i="1"/>
  <c r="B16" i="1"/>
  <c r="B15" i="1"/>
  <c r="B14" i="1"/>
  <c r="B13" i="1"/>
  <c r="A19" i="1"/>
  <c r="A18" i="1"/>
  <c r="A17" i="1"/>
  <c r="A16" i="1"/>
  <c r="A15" i="1"/>
  <c r="A14" i="1"/>
  <c r="A13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<sst xmlns="http://schemas.openxmlformats.org/spreadsheetml/2006/main" count="13" uniqueCount="13">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</sst>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2684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7C01494-FA71-6143-9075-E3F443F25C85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7C01494-FA71-6143-9075-E3F443F25C85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11</xdr:row>
      <xdr:rowOff>0</xdr:rowOff>
    </xdr:from>
    <xdr:ext cx="279628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F18E750-EDD0-564A-8614-7A9F574E31FE}"/>
                </a:ext>
              </a:extLst>
            </xdr:cNvPr>
            <xdr:cNvSpPr txBox="1"/>
          </xdr:nvSpPr>
          <xdr:spPr>
            <a:xfrm>
              <a:off x="21336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F18E750-EDD0-564A-8614-7A9F574E31FE}"/>
                </a:ext>
              </a:extLst>
            </xdr:cNvPr>
            <xdr:cNvSpPr txBox="1"/>
          </xdr:nvSpPr>
          <xdr:spPr>
            <a:xfrm>
              <a:off x="21336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11</xdr:row>
      <xdr:rowOff>0</xdr:rowOff>
    </xdr:from>
    <xdr:ext cx="185692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FE89A09-8EF4-5B4E-8A6D-28B29B89A3CA}"/>
                </a:ext>
              </a:extLst>
            </xdr:cNvPr>
            <xdr:cNvSpPr txBox="1"/>
          </xdr:nvSpPr>
          <xdr:spPr>
            <a:xfrm>
              <a:off x="32639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FE89A09-8EF4-5B4E-8A6D-28B29B89A3CA}"/>
                </a:ext>
              </a:extLst>
            </xdr:cNvPr>
            <xdr:cNvSpPr txBox="1"/>
          </xdr:nvSpPr>
          <xdr:spPr>
            <a:xfrm>
              <a:off x="32639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20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89495F67-EB5E-8F43-8CDD-81F42D163C31}"/>
                </a:ext>
              </a:extLst>
            </xdr:cNvPr>
            <xdr:cNvSpPr txBox="1"/>
          </xdr:nvSpPr>
          <xdr:spPr>
            <a:xfrm>
              <a:off x="0" y="4343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89495F67-EB5E-8F43-8CDD-81F42D163C31}"/>
                </a:ext>
              </a:extLst>
            </xdr:cNvPr>
            <xdr:cNvSpPr txBox="1"/>
          </xdr:nvSpPr>
          <xdr:spPr>
            <a:xfrm>
              <a:off x="0" y="4343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27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F76F82F-1A03-C54E-9230-A2C02C3F012D}"/>
                </a:ext>
              </a:extLst>
            </xdr:cNvPr>
            <xdr:cNvSpPr txBox="1"/>
          </xdr:nvSpPr>
          <xdr:spPr>
            <a:xfrm>
              <a:off x="0" y="57150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F76F82F-1A03-C54E-9230-A2C02C3F012D}"/>
                </a:ext>
              </a:extLst>
            </xdr:cNvPr>
            <xdr:cNvSpPr txBox="1"/>
          </xdr:nvSpPr>
          <xdr:spPr>
            <a:xfrm>
              <a:off x="0" y="57150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28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BFB98BB2-C08D-4446-ACD4-9260B6D4C6B6}"/>
                </a:ext>
              </a:extLst>
            </xdr:cNvPr>
            <xdr:cNvSpPr txBox="1"/>
          </xdr:nvSpPr>
          <xdr:spPr>
            <a:xfrm>
              <a:off x="0" y="59436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BFB98BB2-C08D-4446-ACD4-9260B6D4C6B6}"/>
                </a:ext>
              </a:extLst>
            </xdr:cNvPr>
            <xdr:cNvSpPr txBox="1"/>
          </xdr:nvSpPr>
          <xdr:spPr>
            <a:xfrm>
              <a:off x="0" y="59436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DEBC18EC-1676-704B-B924-1799DC08962C}"/>
                </a:ext>
              </a:extLst>
            </xdr:cNvPr>
            <xdr:cNvSpPr txBox="1"/>
          </xdr:nvSpPr>
          <xdr:spPr>
            <a:xfrm>
              <a:off x="0" y="61722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DEBC18EC-1676-704B-B924-1799DC08962C}"/>
                </a:ext>
              </a:extLst>
            </xdr:cNvPr>
            <xdr:cNvSpPr txBox="1"/>
          </xdr:nvSpPr>
          <xdr:spPr>
            <a:xfrm>
              <a:off x="0" y="61722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96B97B1-6093-0541-9F81-9AAC0FD26DAB}"/>
                </a:ext>
              </a:extLst>
            </xdr:cNvPr>
            <xdr:cNvSpPr txBox="1"/>
          </xdr:nvSpPr>
          <xdr:spPr>
            <a:xfrm>
              <a:off x="0" y="68580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96B97B1-6093-0541-9F81-9AAC0FD26DAB}"/>
                </a:ext>
              </a:extLst>
            </xdr:cNvPr>
            <xdr:cNvSpPr txBox="1"/>
          </xdr:nvSpPr>
          <xdr:spPr>
            <a:xfrm>
              <a:off x="0" y="68580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DE0087D-C5FE-5F42-BD76-0B8990EB4931}"/>
                </a:ext>
              </a:extLst>
            </xdr:cNvPr>
            <xdr:cNvSpPr txBox="1"/>
          </xdr:nvSpPr>
          <xdr:spPr>
            <a:xfrm>
              <a:off x="0" y="8229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DE0087D-C5FE-5F42-BD76-0B8990EB4931}"/>
                </a:ext>
              </a:extLst>
            </xdr:cNvPr>
            <xdr:cNvSpPr txBox="1"/>
          </xdr:nvSpPr>
          <xdr:spPr>
            <a:xfrm>
              <a:off x="0" y="8229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6AC11F6-5FA4-A843-A823-0C2692B04CC8}"/>
                </a:ext>
              </a:extLst>
            </xdr:cNvPr>
            <xdr:cNvSpPr txBox="1"/>
          </xdr:nvSpPr>
          <xdr:spPr>
            <a:xfrm>
              <a:off x="0" y="96012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6AC11F6-5FA4-A843-A823-0C2692B04CC8}"/>
                </a:ext>
              </a:extLst>
            </xdr:cNvPr>
            <xdr:cNvSpPr txBox="1"/>
          </xdr:nvSpPr>
          <xdr:spPr>
            <a:xfrm>
              <a:off x="0" y="96012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06CCC2A-5A22-144E-A704-C8962B3820DD}"/>
                </a:ext>
              </a:extLst>
            </xdr:cNvPr>
            <xdr:cNvSpPr txBox="1"/>
          </xdr:nvSpPr>
          <xdr:spPr>
            <a:xfrm>
              <a:off x="0" y="112014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06CCC2A-5A22-144E-A704-C8962B3820DD}"/>
                </a:ext>
              </a:extLst>
            </xdr:cNvPr>
            <xdr:cNvSpPr txBox="1"/>
          </xdr:nvSpPr>
          <xdr:spPr>
            <a:xfrm>
              <a:off x="0" y="112014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60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268D0EAC-F976-4546-A854-5E665E5450B4}"/>
                </a:ext>
              </a:extLst>
            </xdr:cNvPr>
            <xdr:cNvSpPr txBox="1"/>
          </xdr:nvSpPr>
          <xdr:spPr>
            <a:xfrm>
              <a:off x="0" y="125730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268D0EAC-F976-4546-A854-5E665E5450B4}"/>
                </a:ext>
              </a:extLst>
            </xdr:cNvPr>
            <xdr:cNvSpPr txBox="1"/>
          </xdr:nvSpPr>
          <xdr:spPr>
            <a:xfrm>
              <a:off x="0" y="125730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61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A7EC608-3359-B14C-BD97-C7B2852D2040}"/>
                </a:ext>
              </a:extLst>
            </xdr:cNvPr>
            <xdr:cNvSpPr txBox="1"/>
          </xdr:nvSpPr>
          <xdr:spPr>
            <a:xfrm>
              <a:off x="0" y="128016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A7EC608-3359-B14C-BD97-C7B2852D2040}"/>
                </a:ext>
              </a:extLst>
            </xdr:cNvPr>
            <xdr:cNvSpPr txBox="1"/>
          </xdr:nvSpPr>
          <xdr:spPr>
            <a:xfrm>
              <a:off x="0" y="128016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64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89DC1723-B759-7141-9B99-83ED46E06CBF}"/>
                </a:ext>
              </a:extLst>
            </xdr:cNvPr>
            <xdr:cNvSpPr txBox="1"/>
          </xdr:nvSpPr>
          <xdr:spPr>
            <a:xfrm>
              <a:off x="0" y="134874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89DC1723-B759-7141-9B99-83ED46E06CBF}"/>
                </a:ext>
              </a:extLst>
            </xdr:cNvPr>
            <xdr:cNvSpPr txBox="1"/>
          </xdr:nvSpPr>
          <xdr:spPr>
            <a:xfrm>
              <a:off x="0" y="134874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66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5C8A7824-4A33-4745-A663-03FA146DEDD7}"/>
                </a:ext>
              </a:extLst>
            </xdr:cNvPr>
            <xdr:cNvSpPr txBox="1"/>
          </xdr:nvSpPr>
          <xdr:spPr>
            <a:xfrm>
              <a:off x="0" y="139446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5C8A7824-4A33-4745-A663-03FA146DEDD7}"/>
                </a:ext>
              </a:extLst>
            </xdr:cNvPr>
            <xdr:cNvSpPr txBox="1"/>
          </xdr:nvSpPr>
          <xdr:spPr>
            <a:xfrm>
              <a:off x="0" y="139446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69</xdr:row>
      <xdr:rowOff>0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91CB8E1-EA27-964D-82B6-279DB392DA7D}"/>
                </a:ext>
              </a:extLst>
            </xdr:cNvPr>
            <xdr:cNvSpPr txBox="1"/>
          </xdr:nvSpPr>
          <xdr:spPr>
            <a:xfrm>
              <a:off x="0" y="146304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91CB8E1-EA27-964D-82B6-279DB392DA7D}"/>
                </a:ext>
              </a:extLst>
            </xdr:cNvPr>
            <xdr:cNvSpPr txBox="1"/>
          </xdr:nvSpPr>
          <xdr:spPr>
            <a:xfrm>
              <a:off x="0" y="146304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72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77C468CA-94AE-E54F-98D2-FDF03D372CFE}"/>
                </a:ext>
              </a:extLst>
            </xdr:cNvPr>
            <xdr:cNvSpPr txBox="1"/>
          </xdr:nvSpPr>
          <xdr:spPr>
            <a:xfrm>
              <a:off x="0" y="153162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77C468CA-94AE-E54F-98D2-FDF03D372CFE}"/>
                </a:ext>
              </a:extLst>
            </xdr:cNvPr>
            <xdr:cNvSpPr txBox="1"/>
          </xdr:nvSpPr>
          <xdr:spPr>
            <a:xfrm>
              <a:off x="0" y="153162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1154-4F86-AA42-B02E-BAC5DB7616A7}">
  <dimension ref="A1:M74"/>
  <sheetViews>
    <sheetView tabSelected="1" workbookViewId="0">
      <selection activeCell="F13" sqref="F13"/>
    </sheetView>
  </sheetViews>
  <sheetFormatPr baseColWidth="10" defaultRowHeight="18"/>
  <cols>
    <col min="1" max="1" width="25.5703125" customWidth="1"/>
    <col min="2" max="2" width="13.7109375" customWidth="1"/>
    <col min="3" max="3" width="5.42578125" bestFit="1" customWidth="1"/>
    <col min="4" max="4" width="6" bestFit="1" customWidth="1"/>
    <col min="5" max="5" width="18.85546875" bestFit="1" customWidth="1"/>
    <col min="6" max="6" width="30.5703125" bestFit="1" customWidth="1"/>
    <col min="7" max="7" width="5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46110.794004629628</v>
      </c>
      <c r="B2">
        <v>408</v>
      </c>
      <c r="C2">
        <v>92</v>
      </c>
      <c r="D2">
        <v>0</v>
      </c>
      <c r="E2">
        <v>358.40199999999999</v>
      </c>
      <c r="F2">
        <v>189.02500000000001</v>
      </c>
      <c r="G2">
        <v>46</v>
      </c>
      <c r="H2">
        <v>81</v>
      </c>
      <c r="I2">
        <v>3726</v>
      </c>
      <c r="J2">
        <v>0</v>
      </c>
      <c r="K2">
        <v>0</v>
      </c>
      <c r="L2">
        <v>106.848</v>
      </c>
      <c r="M2">
        <v>200.02199999999999</v>
      </c>
    </row>
    <row r="3" spans="1:13">
      <c r="A3" s="1">
        <v>46110.794027777774</v>
      </c>
      <c r="B3">
        <v>400</v>
      </c>
      <c r="C3">
        <v>68</v>
      </c>
      <c r="D3">
        <v>0</v>
      </c>
      <c r="E3">
        <v>280.471</v>
      </c>
      <c r="F3">
        <v>163.43799999999999</v>
      </c>
      <c r="G3">
        <v>34</v>
      </c>
      <c r="H3">
        <v>81</v>
      </c>
      <c r="I3">
        <v>2754</v>
      </c>
      <c r="J3">
        <v>0</v>
      </c>
      <c r="K3">
        <v>0</v>
      </c>
      <c r="L3">
        <v>94.852999999999994</v>
      </c>
      <c r="M3">
        <v>137.36799999999999</v>
      </c>
    </row>
    <row r="4" spans="1:13">
      <c r="A4" s="1">
        <v>46110.794050925928</v>
      </c>
      <c r="B4">
        <v>114</v>
      </c>
      <c r="C4">
        <v>226</v>
      </c>
      <c r="D4">
        <v>0</v>
      </c>
      <c r="E4">
        <v>481.76499999999999</v>
      </c>
      <c r="F4">
        <v>365.17099999999999</v>
      </c>
      <c r="G4">
        <v>113</v>
      </c>
      <c r="H4">
        <v>150.13300000000001</v>
      </c>
      <c r="I4">
        <v>16965</v>
      </c>
      <c r="J4">
        <v>186</v>
      </c>
      <c r="K4">
        <v>0</v>
      </c>
      <c r="L4">
        <v>182.858</v>
      </c>
      <c r="M4">
        <v>251.54900000000001</v>
      </c>
    </row>
    <row r="5" spans="1:13">
      <c r="A5" s="1">
        <v>46110.794074074074</v>
      </c>
      <c r="B5">
        <v>13</v>
      </c>
      <c r="C5">
        <v>101</v>
      </c>
      <c r="D5">
        <v>0</v>
      </c>
      <c r="E5">
        <v>433.68299999999999</v>
      </c>
      <c r="F5">
        <v>282.59800000000001</v>
      </c>
      <c r="G5">
        <v>50.5</v>
      </c>
      <c r="H5">
        <v>165</v>
      </c>
      <c r="I5">
        <v>8332.5</v>
      </c>
      <c r="J5">
        <v>101</v>
      </c>
      <c r="K5">
        <v>0</v>
      </c>
      <c r="L5">
        <v>115.10899999999999</v>
      </c>
      <c r="M5">
        <v>147.535</v>
      </c>
    </row>
    <row r="6" spans="1:13">
      <c r="A6" s="1">
        <v>46110.79409722222</v>
      </c>
      <c r="B6">
        <v>4</v>
      </c>
      <c r="C6">
        <v>9</v>
      </c>
      <c r="D6">
        <v>0</v>
      </c>
      <c r="E6">
        <v>6.8890000000000002</v>
      </c>
      <c r="F6">
        <v>2.4700000000000002</v>
      </c>
      <c r="G6">
        <v>4.5</v>
      </c>
      <c r="H6">
        <v>165</v>
      </c>
      <c r="I6">
        <v>742.5</v>
      </c>
      <c r="J6">
        <v>9</v>
      </c>
      <c r="K6">
        <v>0</v>
      </c>
      <c r="L6">
        <v>2</v>
      </c>
      <c r="M6">
        <v>3.1110000000000002</v>
      </c>
    </row>
    <row r="7" spans="1:13">
      <c r="A7" s="1">
        <v>46110.794120370374</v>
      </c>
      <c r="B7">
        <v>2</v>
      </c>
      <c r="C7">
        <v>2</v>
      </c>
      <c r="D7">
        <v>0</v>
      </c>
      <c r="E7">
        <v>9.5</v>
      </c>
      <c r="F7">
        <v>0.5</v>
      </c>
      <c r="G7">
        <v>1</v>
      </c>
      <c r="H7">
        <v>165</v>
      </c>
      <c r="I7">
        <v>165</v>
      </c>
      <c r="J7">
        <v>2</v>
      </c>
      <c r="K7">
        <v>0</v>
      </c>
      <c r="L7">
        <v>2.5</v>
      </c>
      <c r="M7">
        <v>4.5</v>
      </c>
    </row>
    <row r="8" spans="1:13">
      <c r="A8" s="1">
        <v>46110.79414351852</v>
      </c>
      <c r="B8">
        <v>0</v>
      </c>
      <c r="C8">
        <v>2</v>
      </c>
      <c r="D8">
        <v>0</v>
      </c>
      <c r="E8">
        <v>9</v>
      </c>
      <c r="F8">
        <v>2</v>
      </c>
      <c r="G8">
        <v>1</v>
      </c>
      <c r="H8">
        <v>165</v>
      </c>
      <c r="I8">
        <v>165</v>
      </c>
      <c r="J8">
        <v>2</v>
      </c>
      <c r="K8">
        <v>0</v>
      </c>
      <c r="L8">
        <v>2.5</v>
      </c>
      <c r="M8">
        <v>4.5</v>
      </c>
    </row>
    <row r="13" spans="1:13">
      <c r="A13">
        <f t="shared" ref="A13:A19" si="0">C2</f>
        <v>92</v>
      </c>
      <c r="B13">
        <f t="shared" ref="B13:C19" si="1">E2</f>
        <v>358.40199999999999</v>
      </c>
      <c r="C13">
        <f t="shared" si="1"/>
        <v>189.02500000000001</v>
      </c>
    </row>
    <row r="14" spans="1:13">
      <c r="A14">
        <f t="shared" si="0"/>
        <v>68</v>
      </c>
      <c r="B14">
        <f t="shared" si="1"/>
        <v>280.471</v>
      </c>
      <c r="C14">
        <f t="shared" si="1"/>
        <v>163.43799999999999</v>
      </c>
    </row>
    <row r="15" spans="1:13">
      <c r="A15">
        <f t="shared" si="0"/>
        <v>226</v>
      </c>
      <c r="B15">
        <f t="shared" si="1"/>
        <v>481.76499999999999</v>
      </c>
      <c r="C15">
        <f t="shared" si="1"/>
        <v>365.17099999999999</v>
      </c>
    </row>
    <row r="16" spans="1:13">
      <c r="A16">
        <f t="shared" si="0"/>
        <v>101</v>
      </c>
      <c r="B16">
        <f t="shared" si="1"/>
        <v>433.68299999999999</v>
      </c>
      <c r="C16">
        <f t="shared" si="1"/>
        <v>282.59800000000001</v>
      </c>
    </row>
    <row r="17" spans="1:3">
      <c r="A17">
        <f t="shared" si="0"/>
        <v>9</v>
      </c>
      <c r="B17">
        <f t="shared" si="1"/>
        <v>6.8890000000000002</v>
      </c>
      <c r="C17">
        <f t="shared" si="1"/>
        <v>2.4700000000000002</v>
      </c>
    </row>
    <row r="18" spans="1:3">
      <c r="A18">
        <f t="shared" si="0"/>
        <v>2</v>
      </c>
      <c r="B18">
        <f t="shared" si="1"/>
        <v>9.5</v>
      </c>
      <c r="C18">
        <f t="shared" si="1"/>
        <v>0.5</v>
      </c>
    </row>
    <row r="19" spans="1:3">
      <c r="A19">
        <f t="shared" si="0"/>
        <v>2</v>
      </c>
      <c r="B19">
        <f t="shared" si="1"/>
        <v>9</v>
      </c>
      <c r="C19">
        <f t="shared" si="1"/>
        <v>2</v>
      </c>
    </row>
    <row r="21" spans="1:3">
      <c r="B21">
        <f t="shared" ref="B21:B27" si="2">A13*B13</f>
        <v>32972.983999999997</v>
      </c>
    </row>
    <row r="22" spans="1:3">
      <c r="B22">
        <f t="shared" si="2"/>
        <v>19072.027999999998</v>
      </c>
    </row>
    <row r="23" spans="1:3">
      <c r="B23">
        <f t="shared" si="2"/>
        <v>108878.89</v>
      </c>
    </row>
    <row r="24" spans="1:3">
      <c r="B24">
        <f t="shared" si="2"/>
        <v>43801.983</v>
      </c>
    </row>
    <row r="25" spans="1:3">
      <c r="B25">
        <f t="shared" si="2"/>
        <v>62.001000000000005</v>
      </c>
    </row>
    <row r="26" spans="1:3">
      <c r="B26">
        <f t="shared" si="2"/>
        <v>19</v>
      </c>
    </row>
    <row r="27" spans="1:3">
      <c r="B27">
        <f t="shared" si="2"/>
        <v>18</v>
      </c>
    </row>
    <row r="28" spans="1:3">
      <c r="B28">
        <f>SUM(B21:B27)</f>
        <v>204824.886</v>
      </c>
    </row>
    <row r="29" spans="1:3">
      <c r="B29">
        <f>SUM(A13:A19)</f>
        <v>500</v>
      </c>
    </row>
    <row r="30" spans="1:3">
      <c r="B30">
        <f>B28/B29</f>
        <v>409.64977199999998</v>
      </c>
    </row>
    <row r="31" spans="1:3">
      <c r="B31">
        <f>ROUND(B30,2)</f>
        <v>409.65</v>
      </c>
    </row>
    <row r="33" spans="2:2">
      <c r="B33">
        <f t="shared" ref="B33:B39" si="3">POWER(C13,2)</f>
        <v>35730.450625000005</v>
      </c>
    </row>
    <row r="34" spans="2:2">
      <c r="B34">
        <f t="shared" si="3"/>
        <v>26711.979843999998</v>
      </c>
    </row>
    <row r="35" spans="2:2">
      <c r="B35">
        <f t="shared" si="3"/>
        <v>133349.859241</v>
      </c>
    </row>
    <row r="36" spans="2:2">
      <c r="B36">
        <f t="shared" si="3"/>
        <v>79861.629604000002</v>
      </c>
    </row>
    <row r="37" spans="2:2">
      <c r="B37">
        <f t="shared" si="3"/>
        <v>6.1009000000000011</v>
      </c>
    </row>
    <row r="38" spans="2:2">
      <c r="B38">
        <f t="shared" si="3"/>
        <v>0.25</v>
      </c>
    </row>
    <row r="39" spans="2:2">
      <c r="B39">
        <f t="shared" si="3"/>
        <v>4</v>
      </c>
    </row>
    <row r="40" spans="2:2">
      <c r="B40">
        <f t="shared" ref="B40:B46" si="4">POWER(B13,2)</f>
        <v>128451.99360399999</v>
      </c>
    </row>
    <row r="41" spans="2:2">
      <c r="B41">
        <f t="shared" si="4"/>
        <v>78663.981841000001</v>
      </c>
    </row>
    <row r="42" spans="2:2">
      <c r="B42">
        <f t="shared" si="4"/>
        <v>232097.51522499998</v>
      </c>
    </row>
    <row r="43" spans="2:2">
      <c r="B43">
        <f t="shared" si="4"/>
        <v>188080.94448899999</v>
      </c>
    </row>
    <row r="44" spans="2:2">
      <c r="B44">
        <f t="shared" si="4"/>
        <v>47.458321000000005</v>
      </c>
    </row>
    <row r="45" spans="2:2">
      <c r="B45">
        <f t="shared" si="4"/>
        <v>90.25</v>
      </c>
    </row>
    <row r="46" spans="2:2">
      <c r="B46">
        <f t="shared" si="4"/>
        <v>81</v>
      </c>
    </row>
    <row r="47" spans="2:2">
      <c r="B47">
        <f t="shared" ref="B47:B53" si="5">B33+B40</f>
        <v>164182.44422899999</v>
      </c>
    </row>
    <row r="48" spans="2:2">
      <c r="B48">
        <f t="shared" si="5"/>
        <v>105375.961685</v>
      </c>
    </row>
    <row r="49" spans="2:2">
      <c r="B49">
        <f t="shared" si="5"/>
        <v>365447.37446600001</v>
      </c>
    </row>
    <row r="50" spans="2:2">
      <c r="B50">
        <f t="shared" si="5"/>
        <v>267942.57409299997</v>
      </c>
    </row>
    <row r="51" spans="2:2">
      <c r="B51">
        <f t="shared" si="5"/>
        <v>53.559221000000008</v>
      </c>
    </row>
    <row r="52" spans="2:2">
      <c r="B52">
        <f t="shared" si="5"/>
        <v>90.5</v>
      </c>
    </row>
    <row r="53" spans="2:2">
      <c r="B53">
        <f t="shared" si="5"/>
        <v>85</v>
      </c>
    </row>
    <row r="54" spans="2:2">
      <c r="B54">
        <f t="shared" ref="B54:B60" si="6">A13*B47</f>
        <v>15104784.869067999</v>
      </c>
    </row>
    <row r="55" spans="2:2">
      <c r="B55">
        <f t="shared" si="6"/>
        <v>7165565.3945800001</v>
      </c>
    </row>
    <row r="56" spans="2:2">
      <c r="B56">
        <f t="shared" si="6"/>
        <v>82591106.629316002</v>
      </c>
    </row>
    <row r="57" spans="2:2">
      <c r="B57">
        <f t="shared" si="6"/>
        <v>27062199.983392999</v>
      </c>
    </row>
    <row r="58" spans="2:2">
      <c r="B58">
        <f t="shared" si="6"/>
        <v>482.03298900000004</v>
      </c>
    </row>
    <row r="59" spans="2:2">
      <c r="B59">
        <f t="shared" si="6"/>
        <v>181</v>
      </c>
    </row>
    <row r="60" spans="2:2">
      <c r="B60">
        <f t="shared" si="6"/>
        <v>170</v>
      </c>
    </row>
    <row r="61" spans="2:2">
      <c r="B61">
        <f>SUM(B54:B60)</f>
        <v>131924489.909346</v>
      </c>
    </row>
    <row r="62" spans="2:2">
      <c r="B62">
        <f>B61/B29</f>
        <v>263848.97981869202</v>
      </c>
    </row>
    <row r="65" spans="2:2">
      <c r="B65">
        <f>B62-POWER(B30,2)</f>
        <v>96036.044119040045</v>
      </c>
    </row>
    <row r="67" spans="2:2">
      <c r="B67">
        <f>SQRT(LN(1+B65/POWER(B30,2)))</f>
        <v>0.67270128012093644</v>
      </c>
    </row>
    <row r="70" spans="2:2">
      <c r="B70">
        <f>LN(B30)-POWER(B67,2)/2</f>
        <v>5.7890390738768112</v>
      </c>
    </row>
    <row r="73" spans="2:2">
      <c r="B73">
        <f>EXP(B70+1.64485*B67)</f>
        <v>987.85089906671783</v>
      </c>
    </row>
    <row r="74" spans="2:2">
      <c r="B74">
        <f>ROUND(B73,2)</f>
        <v>987.85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pessimistic-lock-500-ngrinder-r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2026-03-29T19:50:04Z</dcterms:created>
  <dcterms:modified xsi:type="dcterms:W3CDTF">2026-03-29T21:09:11Z</dcterms:modified>
</cp:coreProperties>
</file>