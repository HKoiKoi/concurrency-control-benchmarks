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spin/"/>
    </mc:Choice>
  </mc:AlternateContent>
  <xr:revisionPtr revIDLastSave="0" documentId="13_ncr:9_{A78D0D74-E449-9D4A-930C-FA855E482A30}" xr6:coauthVersionLast="47" xr6:coauthVersionMax="47" xr10:uidLastSave="{00000000-0000-0000-0000-000000000000}"/>
  <bookViews>
    <workbookView xWindow="14700" yWindow="660" windowWidth="14700" windowHeight="18460" xr2:uid="{70FFB268-1544-7C40-A448-CEC836168DE2}"/>
  </bookViews>
  <sheets>
    <sheet name="spin-lock-5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8" i="1"/>
  <c r="B35" i="1"/>
  <c r="B47" i="1" s="1"/>
  <c r="B53" i="1" s="1"/>
  <c r="B34" i="1"/>
  <c r="B33" i="1"/>
  <c r="B32" i="1"/>
  <c r="B44" i="1" s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15" i="1"/>
  <c r="B39" i="1" s="1"/>
  <c r="A15" i="1"/>
  <c r="C14" i="1"/>
  <c r="B14" i="1"/>
  <c r="A14" i="1"/>
  <c r="C13" i="1"/>
  <c r="B13" i="1"/>
  <c r="B37" i="1" s="1"/>
  <c r="A13" i="1"/>
  <c r="C12" i="1"/>
  <c r="B30" i="1" s="1"/>
  <c r="B42" i="1" s="1"/>
  <c r="B12" i="1"/>
  <c r="B36" i="1" s="1"/>
  <c r="A12" i="1"/>
  <c r="B19" i="1" s="1"/>
  <c r="B45" i="1" l="1"/>
  <c r="B51" i="1" s="1"/>
  <c r="B46" i="1"/>
  <c r="B52" i="1" s="1"/>
  <c r="B50" i="1"/>
  <c r="B49" i="1"/>
  <c r="B22" i="1"/>
  <c r="B25" i="1" s="1"/>
  <c r="B27" i="1" s="1"/>
  <c r="B48" i="1"/>
  <c r="B26" i="1"/>
  <c r="B28" i="1" l="1"/>
  <c r="B54" i="1"/>
  <c r="B55" i="1" s="1"/>
  <c r="B58" i="1" s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<sst xmlns="http://schemas.openxmlformats.org/spreadsheetml/2006/main" count="13" uniqueCount="13">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</sst>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99173A-5B43-D146-A35E-4FD14B7FA0D4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99173A-5B43-D146-A35E-4FD14B7FA0D4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AB41D62-A016-3F4A-AF91-1D0445BAA5E0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AB41D62-A016-3F4A-AF91-1D0445BAA5E0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7A7858F-9B97-E34B-A46F-D43440A1F447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7A7858F-9B97-E34B-A46F-D43440A1F447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A094B0E-6CCF-E947-83B8-33F3F63DEF3A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A094B0E-6CCF-E947-83B8-33F3F63DEF3A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2DCBAB6-1BEC-294A-A859-B98FEEB384DB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2DCBAB6-1BEC-294A-A859-B98FEEB384DB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83B7FE-2697-7F48-B80D-5DAAAFBA1258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83B7FE-2697-7F48-B80D-5DAAAFBA1258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E8D523B-519D-7441-9549-FE950EE13F2C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E8D523B-519D-7441-9549-FE950EE13F2C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4DBE286-D327-9D45-98D0-8677E515D1BA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4DBE286-D327-9D45-98D0-8677E515D1BA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91F871F-E1DE-4942-84EB-98B87FB092EC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91F871F-E1DE-4942-84EB-98B87FB092EC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D10D5F9-B3F1-7549-8EA4-E8B90B0980BF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D10D5F9-B3F1-7549-8EA4-E8B90B0980BF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8CB9F6C-AFDB-974F-9FAE-2AE45BD12947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8CB9F6C-AFDB-974F-9FAE-2AE45BD12947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46FAA8D-51DC-6143-8ABF-A48EDEB9E1B7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46FAA8D-51DC-6143-8ABF-A48EDEB9E1B7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443ECEF-29CD-D342-B4A8-B336F50995A8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443ECEF-29CD-D342-B4A8-B336F50995A8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CB6A081-CDE6-9D40-B54B-8836B2C665C3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CB6A081-CDE6-9D40-B54B-8836B2C665C3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EBEBDC6-E983-2E4A-822D-83E6BDC0A4D5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EBEBDC6-E983-2E4A-822D-83E6BDC0A4D5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5B27715-0965-E543-8B04-E087EA9B8A58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5B27715-0965-E543-8B04-E087EA9B8A58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4ED4CF1-D694-014F-8D81-46D0ECC82F74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4ED4CF1-D694-014F-8D81-46D0ECC82F74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A37D-9120-A64A-8A62-CDC33EC70814}">
  <dimension ref="A1:M67"/>
  <sheetViews>
    <sheetView tabSelected="1" topLeftCell="A44" workbookViewId="0">
      <selection activeCell="E71" sqref="E71"/>
    </sheetView>
  </sheetViews>
  <sheetFormatPr baseColWidth="10" defaultRowHeight="18"/>
  <cols>
    <col min="1" max="1" width="24.285156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4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46110.814837962964</v>
      </c>
      <c r="B2">
        <v>410</v>
      </c>
      <c r="C2">
        <v>92</v>
      </c>
      <c r="D2">
        <v>0</v>
      </c>
      <c r="E2">
        <v>218.08699999999999</v>
      </c>
      <c r="F2">
        <v>175.24799999999999</v>
      </c>
      <c r="G2">
        <v>46</v>
      </c>
      <c r="H2">
        <v>74</v>
      </c>
      <c r="I2">
        <v>3404</v>
      </c>
      <c r="J2">
        <v>0</v>
      </c>
      <c r="K2">
        <v>0</v>
      </c>
      <c r="L2">
        <v>56.054000000000002</v>
      </c>
      <c r="M2">
        <v>112.92400000000001</v>
      </c>
    </row>
    <row r="3" spans="1:13">
      <c r="A3" s="1">
        <v>46110.81486111111</v>
      </c>
      <c r="B3">
        <v>401</v>
      </c>
      <c r="C3">
        <v>13</v>
      </c>
      <c r="D3">
        <v>0</v>
      </c>
      <c r="E3">
        <v>124.462</v>
      </c>
      <c r="F3">
        <v>166.34899999999999</v>
      </c>
      <c r="G3">
        <v>6.5</v>
      </c>
      <c r="H3">
        <v>74</v>
      </c>
      <c r="I3">
        <v>481</v>
      </c>
      <c r="J3">
        <v>0</v>
      </c>
      <c r="K3">
        <v>0</v>
      </c>
      <c r="L3">
        <v>60.615000000000002</v>
      </c>
      <c r="M3">
        <v>143.76900000000001</v>
      </c>
    </row>
    <row r="4" spans="1:13">
      <c r="A4" s="1">
        <v>46110.814884259256</v>
      </c>
      <c r="B4">
        <v>215</v>
      </c>
      <c r="C4">
        <v>180</v>
      </c>
      <c r="D4">
        <v>0</v>
      </c>
      <c r="E4">
        <v>808.79399999999998</v>
      </c>
      <c r="F4">
        <v>462.26499999999999</v>
      </c>
      <c r="G4">
        <v>90</v>
      </c>
      <c r="H4">
        <v>116.97199999999999</v>
      </c>
      <c r="I4">
        <v>10527.5</v>
      </c>
      <c r="J4">
        <v>85</v>
      </c>
      <c r="K4">
        <v>0</v>
      </c>
      <c r="L4">
        <v>204.85599999999999</v>
      </c>
      <c r="M4">
        <v>249.31100000000001</v>
      </c>
    </row>
    <row r="5" spans="1:13">
      <c r="A5" s="1">
        <v>46110.81490740741</v>
      </c>
      <c r="B5">
        <v>9</v>
      </c>
      <c r="C5">
        <v>206</v>
      </c>
      <c r="D5">
        <v>0</v>
      </c>
      <c r="E5">
        <v>703.36400000000003</v>
      </c>
      <c r="F5">
        <v>311.07299999999998</v>
      </c>
      <c r="G5">
        <v>103</v>
      </c>
      <c r="H5">
        <v>165</v>
      </c>
      <c r="I5">
        <v>16995</v>
      </c>
      <c r="J5">
        <v>206</v>
      </c>
      <c r="K5">
        <v>0</v>
      </c>
      <c r="L5">
        <v>183.369</v>
      </c>
      <c r="M5">
        <v>260.233</v>
      </c>
    </row>
    <row r="6" spans="1:13">
      <c r="A6" s="1">
        <v>46110.814930555556</v>
      </c>
      <c r="B6">
        <v>1</v>
      </c>
      <c r="C6">
        <v>8</v>
      </c>
      <c r="D6">
        <v>0</v>
      </c>
      <c r="E6">
        <v>11.5</v>
      </c>
      <c r="F6">
        <v>3.5</v>
      </c>
      <c r="G6">
        <v>4</v>
      </c>
      <c r="H6">
        <v>165</v>
      </c>
      <c r="I6">
        <v>660</v>
      </c>
      <c r="J6">
        <v>8</v>
      </c>
      <c r="K6">
        <v>0</v>
      </c>
      <c r="L6">
        <v>2.75</v>
      </c>
      <c r="M6">
        <v>3.875</v>
      </c>
    </row>
    <row r="7" spans="1:13">
      <c r="A7" s="1">
        <v>46110.814953703702</v>
      </c>
      <c r="B7">
        <v>0</v>
      </c>
      <c r="C7">
        <v>1</v>
      </c>
      <c r="D7">
        <v>0</v>
      </c>
      <c r="E7">
        <v>11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3</v>
      </c>
      <c r="M7">
        <v>4</v>
      </c>
    </row>
    <row r="12" spans="1:13">
      <c r="A12">
        <f t="shared" ref="A12:A17" si="0">C2</f>
        <v>92</v>
      </c>
      <c r="B12">
        <f t="shared" ref="B12:C17" si="1">E2</f>
        <v>218.08699999999999</v>
      </c>
      <c r="C12">
        <f t="shared" si="1"/>
        <v>175.24799999999999</v>
      </c>
    </row>
    <row r="13" spans="1:13">
      <c r="A13">
        <f t="shared" si="0"/>
        <v>13</v>
      </c>
      <c r="B13">
        <f t="shared" si="1"/>
        <v>124.462</v>
      </c>
      <c r="C13">
        <f t="shared" si="1"/>
        <v>166.34899999999999</v>
      </c>
    </row>
    <row r="14" spans="1:13">
      <c r="A14">
        <f t="shared" si="0"/>
        <v>180</v>
      </c>
      <c r="B14">
        <f t="shared" si="1"/>
        <v>808.79399999999998</v>
      </c>
      <c r="C14">
        <f t="shared" si="1"/>
        <v>462.26499999999999</v>
      </c>
    </row>
    <row r="15" spans="1:13">
      <c r="A15">
        <f t="shared" si="0"/>
        <v>206</v>
      </c>
      <c r="B15">
        <f t="shared" si="1"/>
        <v>703.36400000000003</v>
      </c>
      <c r="C15">
        <f t="shared" si="1"/>
        <v>311.07299999999998</v>
      </c>
    </row>
    <row r="16" spans="1:13">
      <c r="A16">
        <f t="shared" si="0"/>
        <v>8</v>
      </c>
      <c r="B16">
        <f t="shared" si="1"/>
        <v>11.5</v>
      </c>
      <c r="C16">
        <f t="shared" si="1"/>
        <v>3.5</v>
      </c>
    </row>
    <row r="17" spans="1:3">
      <c r="A17">
        <f t="shared" si="0"/>
        <v>1</v>
      </c>
      <c r="B17">
        <f t="shared" si="1"/>
        <v>11</v>
      </c>
      <c r="C17">
        <f t="shared" si="1"/>
        <v>0</v>
      </c>
    </row>
    <row r="19" spans="1:3">
      <c r="B19">
        <f t="shared" ref="B19:B24" si="2">A12*B12</f>
        <v>20064.004000000001</v>
      </c>
    </row>
    <row r="20" spans="1:3">
      <c r="B20">
        <f t="shared" si="2"/>
        <v>1618.0060000000001</v>
      </c>
    </row>
    <row r="21" spans="1:3">
      <c r="B21">
        <f t="shared" si="2"/>
        <v>145582.91999999998</v>
      </c>
    </row>
    <row r="22" spans="1:3">
      <c r="B22">
        <f t="shared" si="2"/>
        <v>144892.984</v>
      </c>
    </row>
    <row r="23" spans="1:3">
      <c r="B23">
        <f t="shared" si="2"/>
        <v>92</v>
      </c>
    </row>
    <row r="24" spans="1:3">
      <c r="B24">
        <f t="shared" si="2"/>
        <v>11</v>
      </c>
    </row>
    <row r="25" spans="1:3">
      <c r="B25">
        <f>SUM(B19:B24)</f>
        <v>312260.91399999999</v>
      </c>
    </row>
    <row r="26" spans="1:3">
      <c r="B26">
        <f>SUM(A12:A17)</f>
        <v>500</v>
      </c>
    </row>
    <row r="27" spans="1:3">
      <c r="B27">
        <f>B25/B26</f>
        <v>624.52182800000003</v>
      </c>
    </row>
    <row r="28" spans="1:3">
      <c r="B28">
        <f>ROUND(B27,2)</f>
        <v>624.52</v>
      </c>
    </row>
    <row r="30" spans="1:3">
      <c r="B30">
        <f t="shared" ref="B30:B35" si="3">POWER(C12,2)</f>
        <v>30711.861503999997</v>
      </c>
    </row>
    <row r="31" spans="1:3">
      <c r="B31">
        <f t="shared" si="3"/>
        <v>27671.989800999996</v>
      </c>
    </row>
    <row r="32" spans="1:3">
      <c r="B32">
        <f t="shared" si="3"/>
        <v>213688.93022499999</v>
      </c>
    </row>
    <row r="33" spans="2:2">
      <c r="B33">
        <f t="shared" si="3"/>
        <v>96766.41132899998</v>
      </c>
    </row>
    <row r="34" spans="2:2">
      <c r="B34">
        <f t="shared" si="3"/>
        <v>12.25</v>
      </c>
    </row>
    <row r="35" spans="2:2">
      <c r="B35">
        <f t="shared" si="3"/>
        <v>0</v>
      </c>
    </row>
    <row r="36" spans="2:2">
      <c r="B36">
        <f t="shared" ref="B36:B41" si="4">POWER(B12,2)</f>
        <v>47561.939568999995</v>
      </c>
    </row>
    <row r="37" spans="2:2">
      <c r="B37">
        <f t="shared" si="4"/>
        <v>15490.789444</v>
      </c>
    </row>
    <row r="38" spans="2:2">
      <c r="B38">
        <f t="shared" si="4"/>
        <v>654147.734436</v>
      </c>
    </row>
    <row r="39" spans="2:2">
      <c r="B39">
        <f t="shared" si="4"/>
        <v>494720.91649600002</v>
      </c>
    </row>
    <row r="40" spans="2:2">
      <c r="B40">
        <f t="shared" si="4"/>
        <v>132.25</v>
      </c>
    </row>
    <row r="41" spans="2:2">
      <c r="B41">
        <f t="shared" si="4"/>
        <v>121</v>
      </c>
    </row>
    <row r="42" spans="2:2">
      <c r="B42">
        <f t="shared" ref="B42:B47" si="5">B30+B36</f>
        <v>78273.801072999995</v>
      </c>
    </row>
    <row r="43" spans="2:2">
      <c r="B43">
        <f t="shared" si="5"/>
        <v>43162.779244999998</v>
      </c>
    </row>
    <row r="44" spans="2:2">
      <c r="B44">
        <f t="shared" si="5"/>
        <v>867836.66466100002</v>
      </c>
    </row>
    <row r="45" spans="2:2">
      <c r="B45">
        <f t="shared" si="5"/>
        <v>591487.32782500004</v>
      </c>
    </row>
    <row r="46" spans="2:2">
      <c r="B46">
        <f t="shared" si="5"/>
        <v>144.5</v>
      </c>
    </row>
    <row r="47" spans="2:2">
      <c r="B47">
        <f t="shared" si="5"/>
        <v>121</v>
      </c>
    </row>
    <row r="48" spans="2:2">
      <c r="B48">
        <f t="shared" ref="B48:B53" si="6">A12*B42</f>
        <v>7201189.6987159997</v>
      </c>
    </row>
    <row r="49" spans="2:2">
      <c r="B49">
        <f t="shared" si="6"/>
        <v>561116.13018500002</v>
      </c>
    </row>
    <row r="50" spans="2:2">
      <c r="B50">
        <f t="shared" si="6"/>
        <v>156210599.63898</v>
      </c>
    </row>
    <row r="51" spans="2:2">
      <c r="B51">
        <f t="shared" si="6"/>
        <v>121846389.53195001</v>
      </c>
    </row>
    <row r="52" spans="2:2">
      <c r="B52">
        <f t="shared" si="6"/>
        <v>1156</v>
      </c>
    </row>
    <row r="53" spans="2:2">
      <c r="B53">
        <f t="shared" si="6"/>
        <v>121</v>
      </c>
    </row>
    <row r="54" spans="2:2">
      <c r="B54">
        <f>SUM(B48:B53)</f>
        <v>285820571.99983102</v>
      </c>
    </row>
    <row r="55" spans="2:2">
      <c r="B55">
        <f>B54/B26</f>
        <v>571641.14399966202</v>
      </c>
    </row>
    <row r="58" spans="2:2">
      <c r="B58">
        <f>B55-POWER(B27,2)</f>
        <v>181613.63035120041</v>
      </c>
    </row>
    <row r="60" spans="2:2">
      <c r="B60">
        <f>SQRT(LN(1+B58/POWER(B27,2)))</f>
        <v>0.6182993930278875</v>
      </c>
    </row>
    <row r="63" spans="2:2">
      <c r="B63">
        <f>LN(B27)-POWER(B60,2)/2</f>
        <v>6.2458392120076818</v>
      </c>
    </row>
    <row r="66" spans="2:2">
      <c r="B66">
        <f>EXP(B63+1.64485*B60)</f>
        <v>1426.3142789037256</v>
      </c>
    </row>
    <row r="67" spans="2:2">
      <c r="B67">
        <f>ROUND(B66,2)</f>
        <v>1426.31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spin-lock-500-ngrinder-result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2026-03-29T21:20:35Z</dcterms:created>
  <dcterms:modified xsi:type="dcterms:W3CDTF">2026-03-29T21:21:46Z</dcterms:modified>
</cp:coreProperties>
</file>