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4th-test/spin/"/>
    </mc:Choice>
  </mc:AlternateContent>
  <xr:revisionPtr revIDLastSave="0" documentId="13_ncr:9_{18696E54-712A-8847-84B2-1D74C481AB80}" xr6:coauthVersionLast="47" xr6:coauthVersionMax="47" xr10:uidLastSave="{00000000-0000-0000-0000-000000000000}"/>
  <bookViews>
    <workbookView xWindow="14700" yWindow="660" windowWidth="14700" windowHeight="18460" xr2:uid="{54AA5D24-7E80-0B44-A286-184DB870A16B}"/>
  </bookViews>
  <sheets>
    <sheet name="spin-lock-1000-ngrinder-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35" i="1"/>
  <c r="B47" i="1" s="1"/>
  <c r="B53" i="1" s="1"/>
  <c r="B34" i="1"/>
  <c r="B32" i="1"/>
  <c r="B31" i="1"/>
  <c r="B43" i="1" s="1"/>
  <c r="B24" i="1"/>
  <c r="B23" i="1"/>
  <c r="B21" i="1"/>
  <c r="B20" i="1"/>
  <c r="C17" i="1"/>
  <c r="B17" i="1"/>
  <c r="A17" i="1"/>
  <c r="C16" i="1"/>
  <c r="B16" i="1"/>
  <c r="B40" i="1" s="1"/>
  <c r="A16" i="1"/>
  <c r="C15" i="1"/>
  <c r="B33" i="1" s="1"/>
  <c r="B15" i="1"/>
  <c r="B39" i="1" s="1"/>
  <c r="A15" i="1"/>
  <c r="B22" i="1" s="1"/>
  <c r="C14" i="1"/>
  <c r="B14" i="1"/>
  <c r="B38" i="1" s="1"/>
  <c r="A14" i="1"/>
  <c r="C13" i="1"/>
  <c r="B13" i="1"/>
  <c r="B37" i="1" s="1"/>
  <c r="A13" i="1"/>
  <c r="C12" i="1"/>
  <c r="B30" i="1" s="1"/>
  <c r="B12" i="1"/>
  <c r="B36" i="1" s="1"/>
  <c r="A12" i="1"/>
  <c r="B19" i="1" s="1"/>
  <c r="B25" i="1" l="1"/>
  <c r="B45" i="1"/>
  <c r="B44" i="1"/>
  <c r="B42" i="1"/>
  <c r="B49" i="1"/>
  <c r="B46" i="1"/>
  <c r="B52" i="1" s="1"/>
  <c r="B50" i="1"/>
  <c r="B51" i="1"/>
  <c r="B48" i="1"/>
  <c r="B54" i="1" s="1"/>
  <c r="B26" i="1"/>
  <c r="B55" i="1" l="1"/>
  <c r="B27" i="1"/>
  <c r="B28" i="1" l="1"/>
  <c r="B58" i="1"/>
  <c r="B60" i="1" s="1"/>
  <c r="B63" i="1" s="1"/>
  <c r="B66" i="1" s="1"/>
  <c r="B67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<sst xmlns="http://schemas.openxmlformats.org/spreadsheetml/2006/main" count="13" uniqueCount="13">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</sst>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B7B14CF-DA2F-A24B-9C97-7785A6F78E21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B7B14CF-DA2F-A24B-9C97-7785A6F78E21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10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F4B4795-8904-6F46-9E89-A52864CE41B7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F4B4795-8904-6F46-9E89-A52864CE41B7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1B2A78A-5DFE-F140-BFC8-6E30E87570EE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1B2A78A-5DFE-F140-BFC8-6E30E87570EE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45EEFDE-4B89-5F4D-9EE1-ED37F0487377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45EEFDE-4B89-5F4D-9EE1-ED37F0487377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24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C831311-C1EA-0848-8202-5A7F70924AC3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C831311-C1EA-0848-8202-5A7F70924AC3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22A5627-BBB7-E649-AB7D-8E6F3A040FB4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22A5627-BBB7-E649-AB7D-8E6F3A040FB4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AB87BC7-DA9F-C843-A09C-7B9F160264AE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AB87BC7-DA9F-C843-A09C-7B9F160264AE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29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3FFC47C-8A29-CC4B-95F2-DC1F5265D85A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3FFC47C-8A29-CC4B-95F2-DC1F5265D85A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AFF4D67-36D1-334C-AD1C-284A24CEAB5F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AFF4D67-36D1-334C-AD1C-284A24CEAB5F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BAD0721-5D4A-4445-A5B1-F794A27C8C84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BAD0721-5D4A-4445-A5B1-F794A27C8C84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F0CFF05-5D67-DD46-AFCB-0BAAC266CAF1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F0CFF05-5D67-DD46-AFCB-0BAAC266CAF1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53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CA641FD-121C-F149-A5F3-FB166A613018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CA641FD-121C-F149-A5F3-FB166A613018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54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6DAED21-1A9D-CF44-92EB-B477E4073B49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6DAED21-1A9D-CF44-92EB-B477E4073B49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57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0FD4DA4-6B8B-4149-92E4-916F73D8FBD8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0FD4DA4-6B8B-4149-92E4-916F73D8FBD8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59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511267E-C340-8247-BFF0-28892365CE96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511267E-C340-8247-BFF0-28892365CE96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62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EE090FB-4926-694A-A025-E67E92974826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EE090FB-4926-694A-A025-E67E92974826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65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9B33019-2137-2144-9F77-FB0F030F33EE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9B33019-2137-2144-9F77-FB0F030F33EE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E85F-56BF-D04F-99EB-A363BE33CE62}">
  <dimension ref="A1:M67"/>
  <sheetViews>
    <sheetView tabSelected="1" topLeftCell="A40" workbookViewId="0">
      <selection activeCell="D66" sqref="D66"/>
    </sheetView>
  </sheetViews>
  <sheetFormatPr baseColWidth="10" defaultRowHeight="18"/>
  <cols>
    <col min="1" max="1" width="26.57031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5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46110.828761574077</v>
      </c>
      <c r="B2">
        <v>915</v>
      </c>
      <c r="C2">
        <v>88</v>
      </c>
      <c r="D2">
        <v>0</v>
      </c>
      <c r="E2">
        <v>165.84100000000001</v>
      </c>
      <c r="F2">
        <v>145.995</v>
      </c>
      <c r="G2">
        <v>44</v>
      </c>
      <c r="H2">
        <v>74</v>
      </c>
      <c r="I2">
        <v>3256</v>
      </c>
      <c r="J2">
        <v>0</v>
      </c>
      <c r="K2">
        <v>0</v>
      </c>
      <c r="L2">
        <v>55.33</v>
      </c>
      <c r="M2">
        <v>76.409000000000006</v>
      </c>
    </row>
    <row r="3" spans="1:13">
      <c r="A3" s="1">
        <v>46110.828784722224</v>
      </c>
      <c r="B3">
        <v>902</v>
      </c>
      <c r="C3">
        <v>11</v>
      </c>
      <c r="D3">
        <v>0</v>
      </c>
      <c r="E3">
        <v>11.909000000000001</v>
      </c>
      <c r="F3">
        <v>3.1749999999999998</v>
      </c>
      <c r="G3">
        <v>5.5</v>
      </c>
      <c r="H3">
        <v>74</v>
      </c>
      <c r="I3">
        <v>407</v>
      </c>
      <c r="J3">
        <v>0</v>
      </c>
      <c r="K3">
        <v>0</v>
      </c>
      <c r="L3">
        <v>2</v>
      </c>
      <c r="M3">
        <v>3.3639999999999999</v>
      </c>
    </row>
    <row r="4" spans="1:13">
      <c r="A4" s="1">
        <v>46110.82880787037</v>
      </c>
      <c r="B4">
        <v>901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s="1">
        <v>46110.828831018516</v>
      </c>
      <c r="B5">
        <v>532</v>
      </c>
      <c r="C5">
        <v>598</v>
      </c>
      <c r="D5">
        <v>0</v>
      </c>
      <c r="E5">
        <v>1471.4670000000001</v>
      </c>
      <c r="F5">
        <v>400.18099999999998</v>
      </c>
      <c r="G5">
        <v>299</v>
      </c>
      <c r="H5">
        <v>149.63</v>
      </c>
      <c r="I5">
        <v>44739.5</v>
      </c>
      <c r="J5">
        <v>497</v>
      </c>
      <c r="K5">
        <v>0</v>
      </c>
      <c r="L5">
        <v>418.82400000000001</v>
      </c>
      <c r="M5">
        <v>529.32299999999998</v>
      </c>
    </row>
    <row r="6" spans="1:13">
      <c r="A6" s="1">
        <v>46110.82885416667</v>
      </c>
      <c r="B6">
        <v>109</v>
      </c>
      <c r="C6">
        <v>206</v>
      </c>
      <c r="D6">
        <v>0</v>
      </c>
      <c r="E6">
        <v>1164.626</v>
      </c>
      <c r="F6">
        <v>522.31399999999996</v>
      </c>
      <c r="G6">
        <v>103</v>
      </c>
      <c r="H6">
        <v>165</v>
      </c>
      <c r="I6">
        <v>16995</v>
      </c>
      <c r="J6">
        <v>206</v>
      </c>
      <c r="K6">
        <v>0</v>
      </c>
      <c r="L6">
        <v>355.447</v>
      </c>
      <c r="M6">
        <v>434.61700000000002</v>
      </c>
    </row>
    <row r="7" spans="1:13">
      <c r="A7" s="1">
        <v>46110.828877314816</v>
      </c>
      <c r="B7">
        <v>0</v>
      </c>
      <c r="C7">
        <v>97</v>
      </c>
      <c r="D7">
        <v>0</v>
      </c>
      <c r="E7">
        <v>898.39200000000005</v>
      </c>
      <c r="F7">
        <v>262.36099999999999</v>
      </c>
      <c r="G7">
        <v>48.5</v>
      </c>
      <c r="H7">
        <v>165</v>
      </c>
      <c r="I7">
        <v>8002.5</v>
      </c>
      <c r="J7">
        <v>97</v>
      </c>
      <c r="K7">
        <v>0</v>
      </c>
      <c r="L7">
        <v>211.06200000000001</v>
      </c>
      <c r="M7">
        <v>267.59800000000001</v>
      </c>
    </row>
    <row r="12" spans="1:13">
      <c r="A12">
        <f t="shared" ref="A12:A17" si="0">C2</f>
        <v>88</v>
      </c>
      <c r="B12">
        <f t="shared" ref="B12:C17" si="1">E2</f>
        <v>165.84100000000001</v>
      </c>
      <c r="C12">
        <f t="shared" si="1"/>
        <v>145.995</v>
      </c>
    </row>
    <row r="13" spans="1:13">
      <c r="A13">
        <f t="shared" si="0"/>
        <v>11</v>
      </c>
      <c r="B13">
        <f t="shared" si="1"/>
        <v>11.909000000000001</v>
      </c>
      <c r="C13">
        <f t="shared" si="1"/>
        <v>3.1749999999999998</v>
      </c>
    </row>
    <row r="14" spans="1:13">
      <c r="A14">
        <f t="shared" si="0"/>
        <v>0</v>
      </c>
      <c r="B14">
        <f t="shared" si="1"/>
        <v>0</v>
      </c>
      <c r="C14">
        <f t="shared" si="1"/>
        <v>0</v>
      </c>
    </row>
    <row r="15" spans="1:13">
      <c r="A15">
        <f t="shared" si="0"/>
        <v>598</v>
      </c>
      <c r="B15">
        <f t="shared" si="1"/>
        <v>1471.4670000000001</v>
      </c>
      <c r="C15">
        <f t="shared" si="1"/>
        <v>400.18099999999998</v>
      </c>
    </row>
    <row r="16" spans="1:13">
      <c r="A16">
        <f t="shared" si="0"/>
        <v>206</v>
      </c>
      <c r="B16">
        <f t="shared" si="1"/>
        <v>1164.626</v>
      </c>
      <c r="C16">
        <f t="shared" si="1"/>
        <v>522.31399999999996</v>
      </c>
    </row>
    <row r="17" spans="1:3">
      <c r="A17">
        <f t="shared" si="0"/>
        <v>97</v>
      </c>
      <c r="B17">
        <f t="shared" si="1"/>
        <v>898.39200000000005</v>
      </c>
      <c r="C17">
        <f t="shared" si="1"/>
        <v>262.36099999999999</v>
      </c>
    </row>
    <row r="19" spans="1:3">
      <c r="B19">
        <f t="shared" ref="B19:B24" si="2">A12*B12</f>
        <v>14594.008000000002</v>
      </c>
    </row>
    <row r="20" spans="1:3">
      <c r="B20">
        <f t="shared" si="2"/>
        <v>130.999</v>
      </c>
    </row>
    <row r="21" spans="1:3">
      <c r="B21">
        <f t="shared" si="2"/>
        <v>0</v>
      </c>
    </row>
    <row r="22" spans="1:3">
      <c r="B22">
        <f t="shared" si="2"/>
        <v>879937.26600000006</v>
      </c>
    </row>
    <row r="23" spans="1:3">
      <c r="B23">
        <f t="shared" si="2"/>
        <v>239912.95600000001</v>
      </c>
    </row>
    <row r="24" spans="1:3">
      <c r="B24">
        <f t="shared" si="2"/>
        <v>87144.024000000005</v>
      </c>
    </row>
    <row r="25" spans="1:3">
      <c r="B25">
        <f>SUM(B19:B24)</f>
        <v>1221719.253</v>
      </c>
    </row>
    <row r="26" spans="1:3">
      <c r="B26">
        <f>SUM(A12:A17)</f>
        <v>1000</v>
      </c>
    </row>
    <row r="27" spans="1:3">
      <c r="B27">
        <f>B25/B26</f>
        <v>1221.719253</v>
      </c>
    </row>
    <row r="28" spans="1:3">
      <c r="B28">
        <f>ROUND(B27,2)</f>
        <v>1221.72</v>
      </c>
    </row>
    <row r="30" spans="1:3">
      <c r="B30">
        <f t="shared" ref="B30:B35" si="3">POWER(C12,2)</f>
        <v>21314.540025000002</v>
      </c>
    </row>
    <row r="31" spans="1:3">
      <c r="B31">
        <f t="shared" si="3"/>
        <v>10.080625</v>
      </c>
    </row>
    <row r="32" spans="1:3">
      <c r="B32">
        <f t="shared" si="3"/>
        <v>0</v>
      </c>
    </row>
    <row r="33" spans="2:2">
      <c r="B33">
        <f t="shared" si="3"/>
        <v>160144.832761</v>
      </c>
    </row>
    <row r="34" spans="2:2">
      <c r="B34">
        <f t="shared" si="3"/>
        <v>272811.91459599999</v>
      </c>
    </row>
    <row r="35" spans="2:2">
      <c r="B35">
        <f t="shared" si="3"/>
        <v>68833.294320999994</v>
      </c>
    </row>
    <row r="36" spans="2:2">
      <c r="B36">
        <f t="shared" ref="B36:B41" si="4">POWER(B12,2)</f>
        <v>27503.237281000002</v>
      </c>
    </row>
    <row r="37" spans="2:2">
      <c r="B37">
        <f t="shared" si="4"/>
        <v>141.82428100000001</v>
      </c>
    </row>
    <row r="38" spans="2:2">
      <c r="B38">
        <f t="shared" si="4"/>
        <v>0</v>
      </c>
    </row>
    <row r="39" spans="2:2">
      <c r="B39">
        <f t="shared" si="4"/>
        <v>2165215.1320890002</v>
      </c>
    </row>
    <row r="40" spans="2:2">
      <c r="B40">
        <f t="shared" si="4"/>
        <v>1356353.719876</v>
      </c>
    </row>
    <row r="41" spans="2:2">
      <c r="B41">
        <f t="shared" si="4"/>
        <v>807108.18566400011</v>
      </c>
    </row>
    <row r="42" spans="2:2">
      <c r="B42">
        <f t="shared" ref="B42:B47" si="5">B30+B36</f>
        <v>48817.777306000004</v>
      </c>
    </row>
    <row r="43" spans="2:2">
      <c r="B43">
        <f t="shared" si="5"/>
        <v>151.90490600000001</v>
      </c>
    </row>
    <row r="44" spans="2:2">
      <c r="B44">
        <f t="shared" si="5"/>
        <v>0</v>
      </c>
    </row>
    <row r="45" spans="2:2">
      <c r="B45">
        <f t="shared" si="5"/>
        <v>2325359.9648500001</v>
      </c>
    </row>
    <row r="46" spans="2:2">
      <c r="B46">
        <f t="shared" si="5"/>
        <v>1629165.6344719999</v>
      </c>
    </row>
    <row r="47" spans="2:2">
      <c r="B47">
        <f t="shared" si="5"/>
        <v>875941.4799850001</v>
      </c>
    </row>
    <row r="48" spans="2:2">
      <c r="B48">
        <f t="shared" ref="B48:B53" si="6">A12*B42</f>
        <v>4295964.4029280003</v>
      </c>
    </row>
    <row r="49" spans="2:2">
      <c r="B49">
        <f t="shared" si="6"/>
        <v>1670.953966</v>
      </c>
    </row>
    <row r="50" spans="2:2">
      <c r="B50">
        <f t="shared" si="6"/>
        <v>0</v>
      </c>
    </row>
    <row r="51" spans="2:2">
      <c r="B51">
        <f t="shared" si="6"/>
        <v>1390565258.9802999</v>
      </c>
    </row>
    <row r="52" spans="2:2">
      <c r="B52">
        <f t="shared" si="6"/>
        <v>335608120.70123202</v>
      </c>
    </row>
    <row r="53" spans="2:2">
      <c r="B53">
        <f t="shared" si="6"/>
        <v>84966323.558545008</v>
      </c>
    </row>
    <row r="54" spans="2:2">
      <c r="B54">
        <f>SUM(B48:B53)</f>
        <v>1815437338.596971</v>
      </c>
    </row>
    <row r="55" spans="2:2">
      <c r="B55">
        <f>B54/B26</f>
        <v>1815437.338596971</v>
      </c>
    </row>
    <row r="58" spans="2:2">
      <c r="B58">
        <f>B55-POWER(B27,2)</f>
        <v>322839.40544609306</v>
      </c>
    </row>
    <row r="60" spans="2:2">
      <c r="B60">
        <f>SQRT(LN(1+B58/POWER(B27,2)))</f>
        <v>0.44250222102532977</v>
      </c>
    </row>
    <row r="63" spans="2:2">
      <c r="B63">
        <f>LN(B27)-POWER(B60,2)/2</f>
        <v>7.0101102616676805</v>
      </c>
    </row>
    <row r="66" spans="2:2">
      <c r="B66">
        <f>EXP(B63+1.64485*B60)</f>
        <v>2293.7883704423148</v>
      </c>
    </row>
    <row r="67" spans="2:2">
      <c r="B67">
        <f>ROUND(B66,2)</f>
        <v>2293.79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spin-lock-1000-ngrinder-result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2026-03-29T21:23:16Z</dcterms:created>
  <dcterms:modified xsi:type="dcterms:W3CDTF">2026-03-29T21:24:16Z</dcterms:modified>
</cp:coreProperties>
</file>