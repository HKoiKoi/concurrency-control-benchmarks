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gja/Projects/concurrency-control-benchmarks/docs/result/row-data/4th-test/spin/"/>
    </mc:Choice>
  </mc:AlternateContent>
  <xr:revisionPtr revIDLastSave="0" documentId="13_ncr:9_{28DD1763-1DA7-9148-B208-E36AD774993B}" xr6:coauthVersionLast="47" xr6:coauthVersionMax="47" xr10:uidLastSave="{00000000-0000-0000-0000-000000000000}"/>
  <bookViews>
    <workbookView xWindow="14700" yWindow="660" windowWidth="14700" windowHeight="18460" xr2:uid="{364B0BA5-EE48-C444-8231-0DF7EFC46442}"/>
  </bookViews>
  <sheets>
    <sheet name="spin-lock-800-ngrinder-resul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B30" i="1"/>
  <c r="B28" i="1"/>
  <c r="B27" i="1"/>
  <c r="B35" i="1" s="1"/>
  <c r="B39" i="1" s="1"/>
  <c r="B18" i="1"/>
  <c r="B17" i="1"/>
  <c r="C13" i="1"/>
  <c r="B13" i="1"/>
  <c r="A13" i="1"/>
  <c r="C12" i="1"/>
  <c r="B26" i="1" s="1"/>
  <c r="B34" i="1" s="1"/>
  <c r="B12" i="1"/>
  <c r="A12" i="1"/>
  <c r="C11" i="1"/>
  <c r="B25" i="1" s="1"/>
  <c r="B11" i="1"/>
  <c r="B29" i="1" s="1"/>
  <c r="A11" i="1"/>
  <c r="B20" i="1" s="1"/>
  <c r="C10" i="1"/>
  <c r="B24" i="1" s="1"/>
  <c r="B32" i="1" s="1"/>
  <c r="B10" i="1"/>
  <c r="A10" i="1"/>
  <c r="B36" i="1" s="1"/>
  <c r="B33" i="1" l="1"/>
  <c r="B38" i="1"/>
  <c r="B37" i="1"/>
  <c r="B40" i="1" s="1"/>
  <c r="B41" i="1" s="1"/>
  <c r="B44" i="1" s="1"/>
  <c r="B46" i="1" s="1"/>
  <c r="B16" i="1"/>
  <c r="B15" i="1"/>
  <c r="B19" i="1" s="1"/>
  <c r="B21" i="1" s="1"/>
  <c r="B22" i="1" l="1"/>
  <c r="B49" i="1"/>
  <c r="B52" i="1" s="1"/>
  <c r="B53" i="1" s="1"/>
</calcChain>
</file>

<file path=xl/sharedStrings.xml><?xml version="1.0" encoding="utf-8"?>
<sst xmlns="http://schemas.openxmlformats.org/spreadsheetml/2006/main" count="13" uniqueCount="13">
  <si>
    <t>DateTime</t>
  </si>
  <si>
    <t>vuser</t>
  </si>
  <si>
    <t>Tests</t>
  </si>
  <si>
    <t>Errors</t>
  </si>
  <si>
    <t>Mean_Test_Time_(ms)</t>
  </si>
  <si>
    <t>Test_Time_Standard_Deviation_(ms)</t>
  </si>
  <si>
    <t>TPS</t>
  </si>
  <si>
    <t>Mean_response_length</t>
  </si>
  <si>
    <t>Response_bytes_per_second</t>
  </si>
  <si>
    <t>Response_errors</t>
  </si>
  <si>
    <t>Mean_time_to_resolve_host</t>
  </si>
  <si>
    <t>Mean_time_to_establish_connection</t>
  </si>
  <si>
    <t>Mean_time_to_first_byte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</si>
</sst>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/m/d\ h:mm:s"/>
  </numFmts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8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453907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866C815-D7B4-6544-B497-C10159224A22}"/>
                </a:ext>
              </a:extLst>
            </xdr:cNvPr>
            <xdr:cNvSpPr txBox="1"/>
          </xdr:nvSpPr>
          <xdr:spPr>
            <a:xfrm>
              <a:off x="0" y="32004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866C815-D7B4-6544-B497-C10159224A22}"/>
                </a:ext>
              </a:extLst>
            </xdr:cNvPr>
            <xdr:cNvSpPr txBox="1"/>
          </xdr:nvSpPr>
          <xdr:spPr>
            <a:xfrm>
              <a:off x="0" y="32004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18</xdr:row>
      <xdr:rowOff>0</xdr:rowOff>
    </xdr:from>
    <xdr:ext cx="1049454" cy="35900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7298E90C-7E01-584D-801B-6DFE34447434}"/>
                </a:ext>
              </a:extLst>
            </xdr:cNvPr>
            <xdr:cNvSpPr txBox="1"/>
          </xdr:nvSpPr>
          <xdr:spPr>
            <a:xfrm>
              <a:off x="0" y="41148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𝜇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7298E90C-7E01-584D-801B-6DFE34447434}"/>
                </a:ext>
              </a:extLst>
            </xdr:cNvPr>
            <xdr:cNvSpPr txBox="1"/>
          </xdr:nvSpPr>
          <xdr:spPr>
            <a:xfrm>
              <a:off x="0" y="41148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(𝑛_𝑖⋅𝜇_𝑖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19</xdr:row>
      <xdr:rowOff>0</xdr:rowOff>
    </xdr:from>
    <xdr:ext cx="806503" cy="35900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5BD3E01-9E69-F344-AF7D-E789FB2E28F9}"/>
                </a:ext>
              </a:extLst>
            </xdr:cNvPr>
            <xdr:cNvSpPr txBox="1"/>
          </xdr:nvSpPr>
          <xdr:spPr>
            <a:xfrm>
              <a:off x="0" y="43434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5BD3E01-9E69-F344-AF7D-E789FB2E28F9}"/>
                </a:ext>
              </a:extLst>
            </xdr:cNvPr>
            <xdr:cNvSpPr txBox="1"/>
          </xdr:nvSpPr>
          <xdr:spPr>
            <a:xfrm>
              <a:off x="0" y="43434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1</xdr:colOff>
      <xdr:row>8</xdr:row>
      <xdr:rowOff>0</xdr:rowOff>
    </xdr:from>
    <xdr:ext cx="254000" cy="34580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B5352D29-9E56-DC46-8D3F-55886A113AD9}"/>
                </a:ext>
              </a:extLst>
            </xdr:cNvPr>
            <xdr:cNvSpPr txBox="1"/>
          </xdr:nvSpPr>
          <xdr:spPr>
            <a:xfrm>
              <a:off x="1" y="1828800"/>
              <a:ext cx="254000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B5352D29-9E56-DC46-8D3F-55886A113AD9}"/>
                </a:ext>
              </a:extLst>
            </xdr:cNvPr>
            <xdr:cNvSpPr txBox="1"/>
          </xdr:nvSpPr>
          <xdr:spPr>
            <a:xfrm>
              <a:off x="1" y="1828800"/>
              <a:ext cx="254000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8</xdr:row>
      <xdr:rowOff>0</xdr:rowOff>
    </xdr:from>
    <xdr:ext cx="254000" cy="34580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4BFCBCC2-4E63-BC4A-A7A4-9860623A3ACA}"/>
                </a:ext>
              </a:extLst>
            </xdr:cNvPr>
            <xdr:cNvSpPr txBox="1"/>
          </xdr:nvSpPr>
          <xdr:spPr>
            <a:xfrm>
              <a:off x="2120900" y="1828800"/>
              <a:ext cx="254000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4BFCBCC2-4E63-BC4A-A7A4-9860623A3ACA}"/>
                </a:ext>
              </a:extLst>
            </xdr:cNvPr>
            <xdr:cNvSpPr txBox="1"/>
          </xdr:nvSpPr>
          <xdr:spPr>
            <a:xfrm>
              <a:off x="2120900" y="1828800"/>
              <a:ext cx="254000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8</xdr:row>
      <xdr:rowOff>0</xdr:rowOff>
    </xdr:from>
    <xdr:ext cx="177800" cy="34580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184C1741-6B88-F343-AB48-975CD78F0052}"/>
                </a:ext>
              </a:extLst>
            </xdr:cNvPr>
            <xdr:cNvSpPr txBox="1"/>
          </xdr:nvSpPr>
          <xdr:spPr>
            <a:xfrm>
              <a:off x="3314700" y="1828800"/>
              <a:ext cx="177800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184C1741-6B88-F343-AB48-975CD78F0052}"/>
                </a:ext>
              </a:extLst>
            </xdr:cNvPr>
            <xdr:cNvSpPr txBox="1"/>
          </xdr:nvSpPr>
          <xdr:spPr>
            <a:xfrm>
              <a:off x="3314700" y="1828800"/>
              <a:ext cx="177800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19</xdr:row>
      <xdr:rowOff>226785</xdr:rowOff>
    </xdr:from>
    <xdr:ext cx="1303947" cy="498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8908CA1C-749F-5C43-BB6E-00738E433FBE}"/>
                </a:ext>
              </a:extLst>
            </xdr:cNvPr>
            <xdr:cNvSpPr txBox="1"/>
          </xdr:nvSpPr>
          <xdr:spPr>
            <a:xfrm>
              <a:off x="0" y="4570185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8908CA1C-749F-5C43-BB6E-00738E433FBE}"/>
                </a:ext>
              </a:extLst>
            </xdr:cNvPr>
            <xdr:cNvSpPr txBox="1"/>
          </xdr:nvSpPr>
          <xdr:spPr>
            <a:xfrm>
              <a:off x="0" y="4570185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𝜇_𝑡𝑜𝑡𝑎𝑙=(Σ_(𝑖=1)^𝑘 (𝑛_𝑖⋅𝜇_𝑖 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23</xdr:row>
      <xdr:rowOff>0</xdr:rowOff>
    </xdr:from>
    <xdr:ext cx="241300" cy="52700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A624FFAB-E43C-E442-A4B5-9F6D7316F0FF}"/>
                </a:ext>
              </a:extLst>
            </xdr:cNvPr>
            <xdr:cNvSpPr txBox="1"/>
          </xdr:nvSpPr>
          <xdr:spPr>
            <a:xfrm>
              <a:off x="0" y="52578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A624FFAB-E43C-E442-A4B5-9F6D7316F0FF}"/>
                </a:ext>
              </a:extLst>
            </xdr:cNvPr>
            <xdr:cNvSpPr txBox="1"/>
          </xdr:nvSpPr>
          <xdr:spPr>
            <a:xfrm>
              <a:off x="0" y="52578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26</xdr:row>
      <xdr:rowOff>226785</xdr:rowOff>
    </xdr:from>
    <xdr:ext cx="253787" cy="52732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5AC9C86A-B4F3-BA44-BBC1-2E93CE5D1F65}"/>
                </a:ext>
              </a:extLst>
            </xdr:cNvPr>
            <xdr:cNvSpPr txBox="1"/>
          </xdr:nvSpPr>
          <xdr:spPr>
            <a:xfrm>
              <a:off x="0" y="6170385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5AC9C86A-B4F3-BA44-BBC1-2E93CE5D1F65}"/>
                </a:ext>
              </a:extLst>
            </xdr:cNvPr>
            <xdr:cNvSpPr txBox="1"/>
          </xdr:nvSpPr>
          <xdr:spPr>
            <a:xfrm>
              <a:off x="0" y="6170385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31</xdr:row>
      <xdr:rowOff>0</xdr:rowOff>
    </xdr:from>
    <xdr:ext cx="1056379" cy="2812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9DC1DC95-22A7-7643-825D-4B555D93FE6A}"/>
                </a:ext>
              </a:extLst>
            </xdr:cNvPr>
            <xdr:cNvSpPr txBox="1"/>
          </xdr:nvSpPr>
          <xdr:spPr>
            <a:xfrm>
              <a:off x="0" y="7086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9DC1DC95-22A7-7643-825D-4B555D93FE6A}"/>
                </a:ext>
              </a:extLst>
            </xdr:cNvPr>
            <xdr:cNvSpPr txBox="1"/>
          </xdr:nvSpPr>
          <xdr:spPr>
            <a:xfrm>
              <a:off x="0" y="7086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𝐸[𝑋_𝑖^2 ]=𝜎_𝑖^2+𝜇_𝑖^2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35</xdr:row>
      <xdr:rowOff>0</xdr:rowOff>
    </xdr:from>
    <xdr:ext cx="726930" cy="26488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62326A6B-E783-4840-A05B-100D86972A74}"/>
                </a:ext>
              </a:extLst>
            </xdr:cNvPr>
            <xdr:cNvSpPr txBox="1"/>
          </xdr:nvSpPr>
          <xdr:spPr>
            <a:xfrm>
              <a:off x="0" y="80010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62326A6B-E783-4840-A05B-100D86972A74}"/>
                </a:ext>
              </a:extLst>
            </xdr:cNvPr>
            <xdr:cNvSpPr txBox="1"/>
          </xdr:nvSpPr>
          <xdr:spPr>
            <a:xfrm>
              <a:off x="0" y="80010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𝑛_𝑖⋅𝐸[𝑋_𝑖^2 ]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39</xdr:row>
      <xdr:rowOff>0</xdr:rowOff>
    </xdr:from>
    <xdr:ext cx="1014380" cy="244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8D03CC47-0245-D047-8DA7-056D9B2B63C3}"/>
                </a:ext>
              </a:extLst>
            </xdr:cNvPr>
            <xdr:cNvSpPr txBox="1"/>
          </xdr:nvSpPr>
          <xdr:spPr>
            <a:xfrm>
              <a:off x="0" y="89154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e>
                        </m:d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8D03CC47-0245-D047-8DA7-056D9B2B63C3}"/>
                </a:ext>
              </a:extLst>
            </xdr:cNvPr>
            <xdr:cNvSpPr txBox="1"/>
          </xdr:nvSpPr>
          <xdr:spPr>
            <a:xfrm>
              <a:off x="0" y="89154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(𝑛_𝑖⋅𝐸[𝑋_𝑖^2 ])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40</xdr:row>
      <xdr:rowOff>0</xdr:rowOff>
    </xdr:from>
    <xdr:ext cx="1759858" cy="498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198CC2CC-1D4F-734D-89BF-39617D3D9ABC}"/>
                </a:ext>
              </a:extLst>
            </xdr:cNvPr>
            <xdr:cNvSpPr txBox="1"/>
          </xdr:nvSpPr>
          <xdr:spPr>
            <a:xfrm>
              <a:off x="0" y="91440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  <m:d>
                              <m:dPr>
                                <m:begChr m:val="["/>
                                <m:endChr m:val="]"/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Sup>
                                  <m:sSubSup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𝑋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  <m:sup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</m:e>
                            </m:d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198CC2CC-1D4F-734D-89BF-39617D3D9ABC}"/>
                </a:ext>
              </a:extLst>
            </xdr:cNvPr>
            <xdr:cNvSpPr txBox="1"/>
          </xdr:nvSpPr>
          <xdr:spPr>
            <a:xfrm>
              <a:off x="0" y="91440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〖𝐸[𝑋^2 ]〗_𝑡𝑜𝑡𝑎𝑙=(Σ_(𝑖=1)^𝑘 (𝑛_𝑖⋅𝐸[𝑋_𝑖^2 ]))/(Σ_(𝑖=1)^𝑘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43</xdr:row>
      <xdr:rowOff>0</xdr:rowOff>
    </xdr:from>
    <xdr:ext cx="2239972" cy="24855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15B682D3-C6A2-ED4F-ADF0-0AB59FBB3397}"/>
                </a:ext>
              </a:extLst>
            </xdr:cNvPr>
            <xdr:cNvSpPr txBox="1"/>
          </xdr:nvSpPr>
          <xdr:spPr>
            <a:xfrm>
              <a:off x="0" y="98298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−</m:t>
                    </m:r>
                    <m:sSup>
                      <m:s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</m:sSub>
                          </m:e>
                        </m:d>
                      </m:e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15B682D3-C6A2-ED4F-ADF0-0AB59FBB3397}"/>
                </a:ext>
              </a:extLst>
            </xdr:cNvPr>
            <xdr:cNvSpPr txBox="1"/>
          </xdr:nvSpPr>
          <xdr:spPr>
            <a:xfrm>
              <a:off x="0" y="98298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𝜎_𝑡𝑜𝑡𝑎𝑙^2=𝐸[𝑋^2 ]_𝑡𝑜𝑡𝑎𝑙−(𝜇_𝑡𝑜𝑡𝑎𝑙 )^2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45</xdr:row>
      <xdr:rowOff>0</xdr:rowOff>
    </xdr:from>
    <xdr:ext cx="1559722" cy="55335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B57BE767-AA45-D44F-BC00-4879D2AF5353}"/>
                </a:ext>
              </a:extLst>
            </xdr:cNvPr>
            <xdr:cNvSpPr txBox="1"/>
          </xdr:nvSpPr>
          <xdr:spPr>
            <a:xfrm>
              <a:off x="0" y="102870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m:rPr>
                            <m:sty m:val="p"/>
                          </m:rPr>
                          <a:rPr lang="en-US" altLang="ko-KR" sz="1100" b="0" i="1">
                            <a:latin typeface="Cambria Math" panose="02040503050406030204" pitchFamily="18" charset="0"/>
                          </a:rPr>
                          <m:t>ln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(1+</m:t>
                        </m:r>
                        <m:f>
                          <m:f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𝜎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num>
                          <m:den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𝜇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𝑡𝑜𝑡𝑎𝑙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den>
                        </m:f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ra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B57BE767-AA45-D44F-BC00-4879D2AF5353}"/>
                </a:ext>
              </a:extLst>
            </xdr:cNvPr>
            <xdr:cNvSpPr txBox="1"/>
          </xdr:nvSpPr>
          <xdr:spPr>
            <a:xfrm>
              <a:off x="0" y="102870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𝜎_𝑙𝑜𝑔=√(ln(1+(𝜎_𝑡𝑜𝑡𝑎𝑙^2)/〖𝜇_𝑡𝑜𝑡𝑎𝑙〗^2 ))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48</xdr:row>
      <xdr:rowOff>1</xdr:rowOff>
    </xdr:from>
    <xdr:ext cx="1559722" cy="45357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EEA08A14-8361-D642-8E7F-7B83D2BE9F84}"/>
                </a:ext>
              </a:extLst>
            </xdr:cNvPr>
            <xdr:cNvSpPr txBox="1"/>
          </xdr:nvSpPr>
          <xdr:spPr>
            <a:xfrm>
              <a:off x="0" y="10972801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ln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)−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log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num>
                      <m:den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EEA08A14-8361-D642-8E7F-7B83D2BE9F84}"/>
                </a:ext>
              </a:extLst>
            </xdr:cNvPr>
            <xdr:cNvSpPr txBox="1"/>
          </xdr:nvSpPr>
          <xdr:spPr>
            <a:xfrm>
              <a:off x="0" y="10972801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𝜇_𝑙𝑜𝑔=ln(𝜇_𝑡𝑜𝑡𝑎𝑙)−(𝜎_log^2)/2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51</xdr:row>
      <xdr:rowOff>0</xdr:rowOff>
    </xdr:from>
    <xdr:ext cx="2071786" cy="182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5073C88A-4821-6443-BC64-749D796B5544}"/>
                </a:ext>
              </a:extLst>
            </xdr:cNvPr>
            <xdr:cNvSpPr txBox="1"/>
          </xdr:nvSpPr>
          <xdr:spPr>
            <a:xfrm>
              <a:off x="0" y="116586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p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95=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exp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+1.64485 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5073C88A-4821-6443-BC64-749D796B5544}"/>
                </a:ext>
              </a:extLst>
            </xdr:cNvPr>
            <xdr:cNvSpPr txBox="1"/>
          </xdr:nvSpPr>
          <xdr:spPr>
            <a:xfrm>
              <a:off x="0" y="116586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p95="exp(" 𝜇_𝑙𝑜𝑔+1.64485 ⋅𝜎_𝑙𝑜𝑔 ")</a:t>
              </a:r>
              <a:r>
                <a:rPr lang="ko-KR" altLang="en-US" sz="1100" b="0" i="0">
                  <a:latin typeface="Cambria Math" panose="02040503050406030204" pitchFamily="18" charset="0"/>
                </a:rPr>
                <a:t>"</a:t>
              </a:r>
              <a:endParaRPr lang="ko-KR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A2EA6-EE81-0543-8CB0-5F3B544E832C}">
  <dimension ref="A1:M53"/>
  <sheetViews>
    <sheetView tabSelected="1" topLeftCell="A27" workbookViewId="0">
      <selection activeCell="E45" sqref="E45"/>
    </sheetView>
  </sheetViews>
  <sheetFormatPr baseColWidth="10" defaultRowHeight="18"/>
  <cols>
    <col min="1" max="1" width="24" customWidth="1"/>
    <col min="2" max="2" width="12.7109375" bestFit="1" customWidth="1"/>
    <col min="3" max="3" width="8.7109375" bestFit="1" customWidth="1"/>
    <col min="4" max="4" width="6" bestFit="1" customWidth="1"/>
    <col min="5" max="5" width="18.85546875" bestFit="1" customWidth="1"/>
    <col min="6" max="6" width="30.5703125" bestFit="1" customWidth="1"/>
    <col min="7" max="7" width="6.7109375" bestFit="1" customWidth="1"/>
    <col min="8" max="8" width="19.7109375" bestFit="1" customWidth="1"/>
    <col min="9" max="9" width="23.85546875" bestFit="1" customWidth="1"/>
    <col min="10" max="10" width="14" bestFit="1" customWidth="1"/>
    <col min="11" max="11" width="23.42578125" bestFit="1" customWidth="1"/>
    <col min="12" max="12" width="30.7109375" bestFit="1" customWidth="1"/>
    <col min="13" max="13" width="20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46110.821851851855</v>
      </c>
      <c r="B2">
        <v>708</v>
      </c>
      <c r="C2">
        <v>138</v>
      </c>
      <c r="D2">
        <v>0</v>
      </c>
      <c r="E2">
        <v>356.964</v>
      </c>
      <c r="F2">
        <v>224.209</v>
      </c>
      <c r="G2">
        <v>69</v>
      </c>
      <c r="H2">
        <v>74</v>
      </c>
      <c r="I2">
        <v>5106</v>
      </c>
      <c r="J2">
        <v>0</v>
      </c>
      <c r="K2">
        <v>0</v>
      </c>
      <c r="L2">
        <v>96.203000000000003</v>
      </c>
      <c r="M2">
        <v>135.203</v>
      </c>
    </row>
    <row r="3" spans="1:13">
      <c r="A3" s="1">
        <v>46110.821875000001</v>
      </c>
      <c r="B3">
        <v>604</v>
      </c>
      <c r="C3">
        <v>73</v>
      </c>
      <c r="D3">
        <v>0</v>
      </c>
      <c r="E3">
        <v>632.50699999999995</v>
      </c>
      <c r="F3">
        <v>432.76400000000001</v>
      </c>
      <c r="G3">
        <v>36.5</v>
      </c>
      <c r="H3">
        <v>87.712000000000003</v>
      </c>
      <c r="I3">
        <v>3201.5</v>
      </c>
      <c r="J3">
        <v>11</v>
      </c>
      <c r="K3">
        <v>0</v>
      </c>
      <c r="L3">
        <v>225.16399999999999</v>
      </c>
      <c r="M3">
        <v>417.452</v>
      </c>
    </row>
    <row r="4" spans="1:13">
      <c r="A4" s="1">
        <v>46110.821898148148</v>
      </c>
      <c r="B4">
        <v>107</v>
      </c>
      <c r="C4">
        <v>577</v>
      </c>
      <c r="D4">
        <v>0</v>
      </c>
      <c r="E4">
        <v>1268.277</v>
      </c>
      <c r="F4">
        <v>350.54599999999999</v>
      </c>
      <c r="G4">
        <v>288.5</v>
      </c>
      <c r="H4">
        <v>165</v>
      </c>
      <c r="I4">
        <v>47602.5</v>
      </c>
      <c r="J4">
        <v>577</v>
      </c>
      <c r="K4">
        <v>0</v>
      </c>
      <c r="L4">
        <v>251.7</v>
      </c>
      <c r="M4">
        <v>325.24099999999999</v>
      </c>
    </row>
    <row r="5" spans="1:13">
      <c r="A5" s="1">
        <v>46110.821921296294</v>
      </c>
      <c r="B5">
        <v>0</v>
      </c>
      <c r="C5">
        <v>12</v>
      </c>
      <c r="D5">
        <v>0</v>
      </c>
      <c r="E5">
        <v>8.5830000000000002</v>
      </c>
      <c r="F5">
        <v>3.2</v>
      </c>
      <c r="G5">
        <v>6</v>
      </c>
      <c r="H5">
        <v>165</v>
      </c>
      <c r="I5">
        <v>990</v>
      </c>
      <c r="J5">
        <v>12</v>
      </c>
      <c r="K5">
        <v>0</v>
      </c>
      <c r="L5">
        <v>1.917</v>
      </c>
      <c r="M5">
        <v>3</v>
      </c>
    </row>
    <row r="10" spans="1:13">
      <c r="A10">
        <f>C2</f>
        <v>138</v>
      </c>
      <c r="B10">
        <f t="shared" ref="B10:C13" si="0">E2</f>
        <v>356.964</v>
      </c>
      <c r="C10">
        <f t="shared" si="0"/>
        <v>224.209</v>
      </c>
    </row>
    <row r="11" spans="1:13">
      <c r="A11">
        <f>C3</f>
        <v>73</v>
      </c>
      <c r="B11">
        <f t="shared" si="0"/>
        <v>632.50699999999995</v>
      </c>
      <c r="C11">
        <f t="shared" si="0"/>
        <v>432.76400000000001</v>
      </c>
    </row>
    <row r="12" spans="1:13">
      <c r="A12">
        <f>C4</f>
        <v>577</v>
      </c>
      <c r="B12">
        <f t="shared" si="0"/>
        <v>1268.277</v>
      </c>
      <c r="C12">
        <f t="shared" si="0"/>
        <v>350.54599999999999</v>
      </c>
    </row>
    <row r="13" spans="1:13">
      <c r="A13">
        <f>C5</f>
        <v>12</v>
      </c>
      <c r="B13">
        <f t="shared" si="0"/>
        <v>8.5830000000000002</v>
      </c>
      <c r="C13">
        <f t="shared" si="0"/>
        <v>3.2</v>
      </c>
    </row>
    <row r="15" spans="1:13">
      <c r="B15">
        <f>A10*B10</f>
        <v>49261.031999999999</v>
      </c>
    </row>
    <row r="16" spans="1:13">
      <c r="B16">
        <f>A11*B11</f>
        <v>46173.010999999999</v>
      </c>
    </row>
    <row r="17" spans="2:2">
      <c r="B17">
        <f>A12*B12</f>
        <v>731795.82900000003</v>
      </c>
    </row>
    <row r="18" spans="2:2">
      <c r="B18">
        <f>A13*B13</f>
        <v>102.99600000000001</v>
      </c>
    </row>
    <row r="19" spans="2:2">
      <c r="B19">
        <f>SUM(B15:B18)</f>
        <v>827332.86800000002</v>
      </c>
    </row>
    <row r="20" spans="2:2">
      <c r="B20">
        <f>SUM(A10:A13)</f>
        <v>800</v>
      </c>
    </row>
    <row r="21" spans="2:2">
      <c r="B21">
        <f>B19/B20</f>
        <v>1034.1660850000001</v>
      </c>
    </row>
    <row r="22" spans="2:2">
      <c r="B22">
        <f>ROUND(B21,2)</f>
        <v>1034.17</v>
      </c>
    </row>
    <row r="24" spans="2:2">
      <c r="B24">
        <f>POWER(C10,2)</f>
        <v>50269.675681000001</v>
      </c>
    </row>
    <row r="25" spans="2:2">
      <c r="B25">
        <f>POWER(C11,2)</f>
        <v>187284.67969600001</v>
      </c>
    </row>
    <row r="26" spans="2:2">
      <c r="B26">
        <f>POWER(C12,2)</f>
        <v>122882.49811599999</v>
      </c>
    </row>
    <row r="27" spans="2:2">
      <c r="B27">
        <f>POWER(C13,2)</f>
        <v>10.240000000000002</v>
      </c>
    </row>
    <row r="28" spans="2:2">
      <c r="B28">
        <f>POWER(B10,2)</f>
        <v>127423.297296</v>
      </c>
    </row>
    <row r="29" spans="2:2">
      <c r="B29">
        <f>POWER(B11,2)</f>
        <v>400065.10504899995</v>
      </c>
    </row>
    <row r="30" spans="2:2">
      <c r="B30">
        <f>POWER(B12,2)</f>
        <v>1608526.5487290001</v>
      </c>
    </row>
    <row r="31" spans="2:2">
      <c r="B31">
        <f>POWER(B13,2)</f>
        <v>73.667889000000002</v>
      </c>
    </row>
    <row r="32" spans="2:2">
      <c r="B32">
        <f>B24+B28</f>
        <v>177692.972977</v>
      </c>
    </row>
    <row r="33" spans="2:2">
      <c r="B33">
        <f>B25+B29</f>
        <v>587349.78474499995</v>
      </c>
    </row>
    <row r="34" spans="2:2">
      <c r="B34">
        <f>B26+B30</f>
        <v>1731409.0468450002</v>
      </c>
    </row>
    <row r="35" spans="2:2">
      <c r="B35">
        <f>B27+B31</f>
        <v>83.907889000000011</v>
      </c>
    </row>
    <row r="36" spans="2:2">
      <c r="B36">
        <f>A10*B32</f>
        <v>24521630.270826001</v>
      </c>
    </row>
    <row r="37" spans="2:2">
      <c r="B37">
        <f>A11*B33</f>
        <v>42876534.286385</v>
      </c>
    </row>
    <row r="38" spans="2:2">
      <c r="B38">
        <f>A12*B34</f>
        <v>999023020.0295651</v>
      </c>
    </row>
    <row r="39" spans="2:2">
      <c r="B39">
        <f>A13*B35</f>
        <v>1006.8946680000001</v>
      </c>
    </row>
    <row r="40" spans="2:2">
      <c r="B40">
        <f>SUM(B36:B39)</f>
        <v>1066422191.4814441</v>
      </c>
    </row>
    <row r="41" spans="2:2">
      <c r="B41">
        <f>B40/B20</f>
        <v>1333027.7393518051</v>
      </c>
    </row>
    <row r="44" spans="2:2">
      <c r="B44">
        <f>B41-POWER(B21,2)</f>
        <v>263528.24798757769</v>
      </c>
    </row>
    <row r="46" spans="2:2">
      <c r="B46">
        <f>SQRT(LN(1+B44/POWER(B21,2)))</f>
        <v>0.469320867572384</v>
      </c>
    </row>
    <row r="49" spans="2:2">
      <c r="B49">
        <f>LN(B21)-POWER(B46,2)/2</f>
        <v>6.831219627591409</v>
      </c>
    </row>
    <row r="52" spans="2:2">
      <c r="B52">
        <f>EXP(B49+1.64485*B46)</f>
        <v>2004.5643946652942</v>
      </c>
    </row>
    <row r="53" spans="2:2">
      <c r="B53">
        <f>ROUND(B52,2)</f>
        <v>2004.56</v>
      </c>
    </row>
  </sheetData>
  <phoneticPr fontId="18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spin-lock-800-ngrinder-result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함상현</dc:creator>
  <cp:lastModifiedBy>함상현</cp:lastModifiedBy>
  <dcterms:created xsi:type="dcterms:W3CDTF">2026-03-29T21:21:56Z</dcterms:created>
  <dcterms:modified xsi:type="dcterms:W3CDTF">2026-03-29T21:23:04Z</dcterms:modified>
</cp:coreProperties>
</file>