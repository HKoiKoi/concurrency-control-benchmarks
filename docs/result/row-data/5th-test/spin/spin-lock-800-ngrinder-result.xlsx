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spin/"/>
    </mc:Choice>
  </mc:AlternateContent>
  <xr:revisionPtr revIDLastSave="0" documentId="13_ncr:9_{E0710654-D96B-AB4D-A606-BB99E47DE59E}" xr6:coauthVersionLast="47" xr6:coauthVersionMax="47" xr10:uidLastSave="{00000000-0000-0000-0000-000000000000}"/>
  <bookViews>
    <workbookView xWindow="14700" yWindow="660" windowWidth="14700" windowHeight="18460" xr2:uid="{1E0D66E6-34BB-414D-B0C7-C077306EB527}"/>
  </bookViews>
  <sheets>
    <sheet name="spin-lock-8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B20" i="1" s="1"/>
  <c r="C10" i="1"/>
  <c r="B24" i="1" s="1"/>
  <c r="B32" i="1" s="1"/>
  <c r="B10" i="1"/>
  <c r="A10" i="1"/>
  <c r="B36" i="1" l="1"/>
  <c r="B33" i="1"/>
  <c r="B16" i="1"/>
  <c r="B37" i="1"/>
  <c r="B15" i="1"/>
  <c r="B19" i="1" s="1"/>
  <c r="B21" i="1" s="1"/>
  <c r="B22" i="1" l="1"/>
  <c r="B40" i="1"/>
  <c r="B41" i="1" s="1"/>
  <c r="B44" i="1" s="1"/>
  <c r="B46" i="1" s="1"/>
  <c r="B49" i="1" s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<sst xmlns="http://schemas.openxmlformats.org/spreadsheetml/2006/main" count="13" uniqueCount="13">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</sst>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9568A06-BB12-9E4D-BD0D-D2DD53D73B4D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9568A06-BB12-9E4D-BD0D-D2DD53D73B4D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72FF4BC-3593-9F4E-A88E-ECAA412E376F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72FF4BC-3593-9F4E-A88E-ECAA412E376F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389447-385E-8B4F-ACB8-719078ED37AA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389447-385E-8B4F-ACB8-719078ED37AA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6A571A-6DDE-EB43-9B24-D63A9262585B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76A571A-6DDE-EB43-9B24-D63A9262585B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31108C2-7612-CD49-ACBC-B73DAFBC3068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31108C2-7612-CD49-ACBC-B73DAFBC3068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6BEFFAE-B6D6-2A44-AB53-618432AD40C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A6BEFFAE-B6D6-2A44-AB53-618432AD40C2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BFAA17D-530A-714E-9C0A-15C5E6759C70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ABFAA17D-530A-714E-9C0A-15C5E6759C70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629A598-A0A3-E743-81E2-852916085966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629A598-A0A3-E743-81E2-852916085966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75BE7F9-5BCA-7E4E-BCD2-9153CF9E9D5C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75BE7F9-5BCA-7E4E-BCD2-9153CF9E9D5C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59CF0E-BA53-AC4A-9702-A43EB90A720E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59CF0E-BA53-AC4A-9702-A43EB90A720E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78F9FC2-1D82-9D41-BA11-5831DE1EE12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78F9FC2-1D82-9D41-BA11-5831DE1EE12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2734B72-13F6-2943-A3ED-02A00925A6CE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2734B72-13F6-2943-A3ED-02A00925A6CE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17982A0-0ED8-3A47-905D-D4D3A2E2D443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17982A0-0ED8-3A47-905D-D4D3A2E2D443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3D54806-9715-AA42-9031-4A89BE06024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3D54806-9715-AA42-9031-4A89BE060247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C3BAE9B-93C0-4B46-820D-FFCC433983CA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C3BAE9B-93C0-4B46-820D-FFCC433983CA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6B34727-4103-214C-B8E4-2B38EF2B22E1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6B34727-4103-214C-B8E4-2B38EF2B22E1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D83429-638C-A247-9A8F-CA6CBA4AFCCE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D83429-638C-A247-9A8F-CA6CBA4AFCCE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5E15-3E22-2049-B7C4-790F97EB9A36}">
  <dimension ref="A1:M53"/>
  <sheetViews>
    <sheetView tabSelected="1" topLeftCell="A28" workbookViewId="0">
      <selection activeCell="E45" sqref="E45"/>
    </sheetView>
  </sheetViews>
  <sheetFormatPr baseColWidth="10" defaultRowHeight="18"/>
  <cols>
    <col min="1" max="1" width="25.5703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46110.884363425925</v>
      </c>
      <c r="B2">
        <v>712</v>
      </c>
      <c r="C2">
        <v>166</v>
      </c>
      <c r="D2">
        <v>0</v>
      </c>
      <c r="E2">
        <v>613.47</v>
      </c>
      <c r="F2">
        <v>472.935</v>
      </c>
      <c r="G2">
        <v>83</v>
      </c>
      <c r="H2">
        <v>74</v>
      </c>
      <c r="I2">
        <v>6142</v>
      </c>
      <c r="J2">
        <v>0</v>
      </c>
      <c r="K2">
        <v>0</v>
      </c>
      <c r="L2">
        <v>151.18100000000001</v>
      </c>
      <c r="M2">
        <v>177.30699999999999</v>
      </c>
    </row>
    <row r="3" spans="1:13">
      <c r="A3" s="1">
        <v>46110.884386574071</v>
      </c>
      <c r="B3">
        <v>109</v>
      </c>
      <c r="C3">
        <v>525</v>
      </c>
      <c r="D3">
        <v>0</v>
      </c>
      <c r="E3">
        <v>1432.1389999999999</v>
      </c>
      <c r="F3">
        <v>403.32299999999998</v>
      </c>
      <c r="G3">
        <v>262.5</v>
      </c>
      <c r="H3">
        <v>159.107</v>
      </c>
      <c r="I3">
        <v>41765.5</v>
      </c>
      <c r="J3">
        <v>491</v>
      </c>
      <c r="K3">
        <v>0</v>
      </c>
      <c r="L3">
        <v>345.339</v>
      </c>
      <c r="M3">
        <v>457.62299999999999</v>
      </c>
    </row>
    <row r="4" spans="1:13">
      <c r="A4" s="1">
        <v>46110.884409722225</v>
      </c>
      <c r="B4">
        <v>2</v>
      </c>
      <c r="C4">
        <v>107</v>
      </c>
      <c r="D4">
        <v>0</v>
      </c>
      <c r="E4">
        <v>971.09299999999996</v>
      </c>
      <c r="F4">
        <v>280.90499999999997</v>
      </c>
      <c r="G4">
        <v>53.5</v>
      </c>
      <c r="H4">
        <v>165</v>
      </c>
      <c r="I4">
        <v>8827.5</v>
      </c>
      <c r="J4">
        <v>107</v>
      </c>
      <c r="K4">
        <v>0</v>
      </c>
      <c r="L4">
        <v>212.70099999999999</v>
      </c>
      <c r="M4">
        <v>255.81299999999999</v>
      </c>
    </row>
    <row r="5" spans="1:13">
      <c r="A5" s="1">
        <v>46110.884432870371</v>
      </c>
      <c r="B5">
        <v>0</v>
      </c>
      <c r="C5">
        <v>2</v>
      </c>
      <c r="D5">
        <v>0</v>
      </c>
      <c r="E5">
        <v>11</v>
      </c>
      <c r="F5">
        <v>1</v>
      </c>
      <c r="G5">
        <v>1</v>
      </c>
      <c r="H5">
        <v>165</v>
      </c>
      <c r="I5">
        <v>165</v>
      </c>
      <c r="J5">
        <v>2</v>
      </c>
      <c r="K5">
        <v>0</v>
      </c>
      <c r="L5">
        <v>3</v>
      </c>
      <c r="M5">
        <v>4.5</v>
      </c>
    </row>
    <row r="10" spans="1:13">
      <c r="A10">
        <f>C2</f>
        <v>166</v>
      </c>
      <c r="B10">
        <f t="shared" ref="B10:C13" si="0">E2</f>
        <v>613.47</v>
      </c>
      <c r="C10">
        <f t="shared" si="0"/>
        <v>472.935</v>
      </c>
    </row>
    <row r="11" spans="1:13">
      <c r="A11">
        <f>C3</f>
        <v>525</v>
      </c>
      <c r="B11">
        <f t="shared" si="0"/>
        <v>1432.1389999999999</v>
      </c>
      <c r="C11">
        <f t="shared" si="0"/>
        <v>403.32299999999998</v>
      </c>
    </row>
    <row r="12" spans="1:13">
      <c r="A12">
        <f>C4</f>
        <v>107</v>
      </c>
      <c r="B12">
        <f t="shared" si="0"/>
        <v>971.09299999999996</v>
      </c>
      <c r="C12">
        <f t="shared" si="0"/>
        <v>280.90499999999997</v>
      </c>
    </row>
    <row r="13" spans="1:13">
      <c r="A13">
        <f>C5</f>
        <v>2</v>
      </c>
      <c r="B13">
        <f t="shared" si="0"/>
        <v>11</v>
      </c>
      <c r="C13">
        <f t="shared" si="0"/>
        <v>1</v>
      </c>
    </row>
    <row r="15" spans="1:13">
      <c r="B15">
        <f>A10*B10</f>
        <v>101836.02</v>
      </c>
    </row>
    <row r="16" spans="1:13">
      <c r="B16">
        <f>A11*B11</f>
        <v>751872.97499999998</v>
      </c>
    </row>
    <row r="17" spans="2:2">
      <c r="B17">
        <f>A12*B12</f>
        <v>103906.951</v>
      </c>
    </row>
    <row r="18" spans="2:2">
      <c r="B18">
        <f>A13*B13</f>
        <v>22</v>
      </c>
    </row>
    <row r="19" spans="2:2">
      <c r="B19">
        <f>SUM(B15:B18)</f>
        <v>957637.946</v>
      </c>
    </row>
    <row r="20" spans="2:2">
      <c r="B20">
        <f>SUM(A10:A13)</f>
        <v>800</v>
      </c>
    </row>
    <row r="21" spans="2:2">
      <c r="B21">
        <f>B19/B20</f>
        <v>1197.0474325</v>
      </c>
    </row>
    <row r="22" spans="2:2">
      <c r="B22">
        <f>ROUND(B21,2)</f>
        <v>1197.05</v>
      </c>
    </row>
    <row r="24" spans="2:2">
      <c r="B24">
        <f>POWER(C10,2)</f>
        <v>223667.51422499999</v>
      </c>
    </row>
    <row r="25" spans="2:2">
      <c r="B25">
        <f>POWER(C11,2)</f>
        <v>162669.44232899998</v>
      </c>
    </row>
    <row r="26" spans="2:2">
      <c r="B26">
        <f>POWER(C12,2)</f>
        <v>78907.619024999978</v>
      </c>
    </row>
    <row r="27" spans="2:2">
      <c r="B27">
        <f>POWER(C13,2)</f>
        <v>1</v>
      </c>
    </row>
    <row r="28" spans="2:2">
      <c r="B28">
        <f>POWER(B10,2)</f>
        <v>376345.44090000005</v>
      </c>
    </row>
    <row r="29" spans="2:2">
      <c r="B29">
        <f>POWER(B11,2)</f>
        <v>2051022.1153209996</v>
      </c>
    </row>
    <row r="30" spans="2:2">
      <c r="B30">
        <f>POWER(B12,2)</f>
        <v>943021.61464899988</v>
      </c>
    </row>
    <row r="31" spans="2:2">
      <c r="B31">
        <f>POWER(B13,2)</f>
        <v>121</v>
      </c>
    </row>
    <row r="32" spans="2:2">
      <c r="B32">
        <f>B24+B28</f>
        <v>600012.95512500009</v>
      </c>
    </row>
    <row r="33" spans="2:2">
      <c r="B33">
        <f>B25+B29</f>
        <v>2213691.5576499999</v>
      </c>
    </row>
    <row r="34" spans="2:2">
      <c r="B34">
        <f>B26+B30</f>
        <v>1021929.2336739999</v>
      </c>
    </row>
    <row r="35" spans="2:2">
      <c r="B35">
        <f>B27+B31</f>
        <v>122</v>
      </c>
    </row>
    <row r="36" spans="2:2">
      <c r="B36">
        <f>A10*B32</f>
        <v>99602150.550750017</v>
      </c>
    </row>
    <row r="37" spans="2:2">
      <c r="B37">
        <f>A11*B33</f>
        <v>1162188067.7662499</v>
      </c>
    </row>
    <row r="38" spans="2:2">
      <c r="B38">
        <f>A12*B34</f>
        <v>109346428.00311799</v>
      </c>
    </row>
    <row r="39" spans="2:2">
      <c r="B39">
        <f>A13*B35</f>
        <v>244</v>
      </c>
    </row>
    <row r="40" spans="2:2">
      <c r="B40">
        <f>SUM(B36:B39)</f>
        <v>1371136890.320118</v>
      </c>
    </row>
    <row r="41" spans="2:2">
      <c r="B41">
        <f>B40/B20</f>
        <v>1713921.1129001474</v>
      </c>
    </row>
    <row r="44" spans="2:2">
      <c r="B44">
        <f>B41-POWER(B21,2)</f>
        <v>280998.55724530527</v>
      </c>
    </row>
    <row r="46" spans="2:2">
      <c r="B46">
        <f>SQRT(LN(1+B44/POWER(B21,2)))</f>
        <v>0.42316390452369007</v>
      </c>
    </row>
    <row r="49" spans="2:2">
      <c r="B49">
        <f>LN(B21)-POWER(B46,2)/2</f>
        <v>6.9980794858757154</v>
      </c>
    </row>
    <row r="52" spans="2:2">
      <c r="B52">
        <f>EXP(B49+1.64485*B46)</f>
        <v>2195.4023995258513</v>
      </c>
    </row>
    <row r="53" spans="2:2">
      <c r="B53">
        <f>ROUND(B52,2)</f>
        <v>2195.4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spin-lock-800-ngrinder-result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2026-03-29T21:26:15Z</dcterms:created>
  <dcterms:modified xsi:type="dcterms:W3CDTF">2026-03-29T21:27:34Z</dcterms:modified>
</cp:coreProperties>
</file>