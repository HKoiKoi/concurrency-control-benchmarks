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spin/"/>
    </mc:Choice>
  </mc:AlternateContent>
  <xr:revisionPtr revIDLastSave="0" documentId="13_ncr:9_{E18573FA-0309-E04B-8E6B-13E6CDBE8A7D}" xr6:coauthVersionLast="47" xr6:coauthVersionMax="47" xr10:uidLastSave="{00000000-0000-0000-0000-000000000000}"/>
  <bookViews>
    <workbookView xWindow="14700" yWindow="660" windowWidth="14700" windowHeight="18460" xr2:uid="{7E66FD7C-D46D-D84D-851A-E9FE44309222}"/>
  </bookViews>
  <sheets>
    <sheet name="spin-lock-10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41" i="1" s="1"/>
  <c r="B15" i="1"/>
  <c r="B36" i="1" s="1"/>
  <c r="A15" i="1"/>
  <c r="B46" i="1" s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7" i="1" l="1"/>
  <c r="B42" i="1"/>
  <c r="B38" i="1"/>
  <c r="B43" i="1" s="1"/>
  <c r="B17" i="1"/>
  <c r="B21" i="1"/>
  <c r="B18" i="1"/>
  <c r="B22" i="1" l="1"/>
  <c r="B24" i="1" s="1"/>
  <c r="B47" i="1"/>
  <c r="B48" i="1" s="1"/>
  <c r="B51" i="1" s="1"/>
  <c r="B53" i="1" s="1"/>
  <c r="B25" i="1" l="1"/>
  <c r="B56" i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<sst xmlns="http://schemas.openxmlformats.org/spreadsheetml/2006/main" count="13" uniqueCount="13">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</sst>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9D6E28-9A83-9E42-B11B-20AF63C98DC2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9D6E28-9A83-9E42-B11B-20AF63C98DC2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780329A-E5F0-1140-BAF8-F354B4D6D607}"/>
                </a:ext>
              </a:extLst>
            </xdr:cNvPr>
            <xdr:cNvSpPr txBox="1"/>
          </xdr:nvSpPr>
          <xdr:spPr>
            <a:xfrm>
              <a:off x="2692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780329A-E5F0-1140-BAF8-F354B4D6D607}"/>
                </a:ext>
              </a:extLst>
            </xdr:cNvPr>
            <xdr:cNvSpPr txBox="1"/>
          </xdr:nvSpPr>
          <xdr:spPr>
            <a:xfrm>
              <a:off x="2692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CD70447-9D0D-5A47-8DB8-0BF90BACB3ED}"/>
                </a:ext>
              </a:extLst>
            </xdr:cNvPr>
            <xdr:cNvSpPr txBox="1"/>
          </xdr:nvSpPr>
          <xdr:spPr>
            <a:xfrm>
              <a:off x="40005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CD70447-9D0D-5A47-8DB8-0BF90BACB3ED}"/>
                </a:ext>
              </a:extLst>
            </xdr:cNvPr>
            <xdr:cNvSpPr txBox="1"/>
          </xdr:nvSpPr>
          <xdr:spPr>
            <a:xfrm>
              <a:off x="40005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44FC85-F2E1-A045-8004-5BE9DB86A61E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44FC85-F2E1-A045-8004-5BE9DB86A61E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A201E44-FE9C-A24A-92EE-7888069A9836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A201E44-FE9C-A24A-92EE-7888069A9836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3BA1399-46B0-3B45-93C5-8BC7BD02A904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3BA1399-46B0-3B45-93C5-8BC7BD02A904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9B3BED3-6A41-334A-8CBD-165B135476BE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9B3BED3-6A41-334A-8CBD-165B135476BE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4D844EE-B6C7-D449-90F1-51732792722D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4D844EE-B6C7-D449-90F1-51732792722D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619ED74-61CF-4543-8C02-3A53C0FD2AF7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619ED74-61CF-4543-8C02-3A53C0FD2AF7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03F3CDF-1670-9943-9137-02D99CE2EACA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03F3CDF-1670-9943-9137-02D99CE2EACA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31E9D2B-9AF8-4D46-9425-4CD780EB2367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31E9D2B-9AF8-4D46-9425-4CD780EB2367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251DDE5-B2A4-E045-B38B-D27CE7259E08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251DDE5-B2A4-E045-B38B-D27CE7259E08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8BAFA84-4DCC-6C49-9259-1E8D2578853C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8BAFA84-4DCC-6C49-9259-1E8D2578853C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FCC6E3C-BFEA-BB4B-B88C-2D2EAB567D84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FCC6E3C-BFEA-BB4B-B88C-2D2EAB567D84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A9557F9-DEC7-3E42-92B0-2EF46C390DE4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A9557F9-DEC7-3E42-92B0-2EF46C390DE4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0196EC9-8E3D-D94E-A678-4A72F6B6B99C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0196EC9-8E3D-D94E-A678-4A72F6B6B99C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EC3E0A3-3069-8C46-8383-8D82B027746F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EC3E0A3-3069-8C46-8383-8D82B027746F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6637-FED8-9E4A-B254-B62F0EF74A5B}">
  <dimension ref="A1:M60"/>
  <sheetViews>
    <sheetView tabSelected="1" workbookViewId="0">
      <selection activeCell="E20" sqref="E20"/>
    </sheetView>
  </sheetViews>
  <sheetFormatPr baseColWidth="10" defaultRowHeight="18"/>
  <cols>
    <col min="1" max="1" width="24.855468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46110.891284722224</v>
      </c>
      <c r="B2">
        <v>915</v>
      </c>
      <c r="C2">
        <v>90</v>
      </c>
      <c r="D2">
        <v>0</v>
      </c>
      <c r="E2">
        <v>195.46700000000001</v>
      </c>
      <c r="F2">
        <v>169.07400000000001</v>
      </c>
      <c r="G2">
        <v>45</v>
      </c>
      <c r="H2">
        <v>74</v>
      </c>
      <c r="I2">
        <v>3330</v>
      </c>
      <c r="J2">
        <v>0</v>
      </c>
      <c r="K2">
        <v>0</v>
      </c>
      <c r="L2">
        <v>38.789000000000001</v>
      </c>
      <c r="M2">
        <v>98.433000000000007</v>
      </c>
    </row>
    <row r="3" spans="1:13">
      <c r="A3" s="1">
        <v>46110.89130787037</v>
      </c>
      <c r="B3">
        <v>900</v>
      </c>
      <c r="C3">
        <v>165</v>
      </c>
      <c r="D3">
        <v>0</v>
      </c>
      <c r="E3">
        <v>1335.8</v>
      </c>
      <c r="F3">
        <v>434.34300000000002</v>
      </c>
      <c r="G3">
        <v>82.5</v>
      </c>
      <c r="H3">
        <v>114.261</v>
      </c>
      <c r="I3">
        <v>9426.5</v>
      </c>
      <c r="J3">
        <v>73</v>
      </c>
      <c r="K3">
        <v>0</v>
      </c>
      <c r="L3">
        <v>346.12700000000001</v>
      </c>
      <c r="M3">
        <v>451.07299999999998</v>
      </c>
    </row>
    <row r="4" spans="1:13">
      <c r="A4" s="1">
        <v>46110.891331018516</v>
      </c>
      <c r="B4">
        <v>403</v>
      </c>
      <c r="C4">
        <v>442</v>
      </c>
      <c r="D4">
        <v>0</v>
      </c>
      <c r="E4">
        <v>1509.74</v>
      </c>
      <c r="F4">
        <v>428.19099999999997</v>
      </c>
      <c r="G4">
        <v>221</v>
      </c>
      <c r="H4">
        <v>161.29400000000001</v>
      </c>
      <c r="I4">
        <v>35646</v>
      </c>
      <c r="J4">
        <v>424</v>
      </c>
      <c r="K4">
        <v>0</v>
      </c>
      <c r="L4">
        <v>281.577</v>
      </c>
      <c r="M4">
        <v>364.37799999999999</v>
      </c>
    </row>
    <row r="5" spans="1:13">
      <c r="A5" s="1">
        <v>46110.89135416667</v>
      </c>
      <c r="B5">
        <v>73</v>
      </c>
      <c r="C5">
        <v>301</v>
      </c>
      <c r="D5">
        <v>0</v>
      </c>
      <c r="E5">
        <v>1093.9770000000001</v>
      </c>
      <c r="F5">
        <v>417.23700000000002</v>
      </c>
      <c r="G5">
        <v>150.5</v>
      </c>
      <c r="H5">
        <v>165</v>
      </c>
      <c r="I5">
        <v>24832.5</v>
      </c>
      <c r="J5">
        <v>301</v>
      </c>
      <c r="K5">
        <v>0</v>
      </c>
      <c r="L5">
        <v>275.392</v>
      </c>
      <c r="M5">
        <v>341.53500000000003</v>
      </c>
    </row>
    <row r="6" spans="1:13">
      <c r="A6" s="1">
        <v>46110.891377314816</v>
      </c>
      <c r="B6">
        <v>0</v>
      </c>
      <c r="C6">
        <v>2</v>
      </c>
      <c r="D6">
        <v>0</v>
      </c>
      <c r="E6">
        <v>9</v>
      </c>
      <c r="F6">
        <v>2</v>
      </c>
      <c r="G6">
        <v>1</v>
      </c>
      <c r="H6">
        <v>165</v>
      </c>
      <c r="I6">
        <v>165</v>
      </c>
      <c r="J6">
        <v>2</v>
      </c>
      <c r="K6">
        <v>0</v>
      </c>
      <c r="L6">
        <v>3</v>
      </c>
      <c r="M6">
        <v>4</v>
      </c>
    </row>
    <row r="11" spans="1:13">
      <c r="A11">
        <f>C2</f>
        <v>90</v>
      </c>
      <c r="B11">
        <f t="shared" ref="B11:C15" si="0">E2</f>
        <v>195.46700000000001</v>
      </c>
      <c r="C11">
        <f t="shared" si="0"/>
        <v>169.07400000000001</v>
      </c>
    </row>
    <row r="12" spans="1:13">
      <c r="A12">
        <f>C3</f>
        <v>165</v>
      </c>
      <c r="B12">
        <f t="shared" si="0"/>
        <v>1335.8</v>
      </c>
      <c r="C12">
        <f t="shared" si="0"/>
        <v>434.34300000000002</v>
      </c>
    </row>
    <row r="13" spans="1:13">
      <c r="A13">
        <f>C4</f>
        <v>442</v>
      </c>
      <c r="B13">
        <f t="shared" si="0"/>
        <v>1509.74</v>
      </c>
      <c r="C13">
        <f t="shared" si="0"/>
        <v>428.19099999999997</v>
      </c>
    </row>
    <row r="14" spans="1:13">
      <c r="A14">
        <f>C5</f>
        <v>301</v>
      </c>
      <c r="B14">
        <f t="shared" si="0"/>
        <v>1093.9770000000001</v>
      </c>
      <c r="C14">
        <f t="shared" si="0"/>
        <v>417.23700000000002</v>
      </c>
    </row>
    <row r="15" spans="1:13">
      <c r="A15">
        <f>C6</f>
        <v>2</v>
      </c>
      <c r="B15">
        <f t="shared" si="0"/>
        <v>9</v>
      </c>
      <c r="C15">
        <f t="shared" si="0"/>
        <v>2</v>
      </c>
    </row>
    <row r="17" spans="2:2">
      <c r="B17">
        <f>A11*B11</f>
        <v>17592.030000000002</v>
      </c>
    </row>
    <row r="18" spans="2:2">
      <c r="B18">
        <f>A12*B12</f>
        <v>220407</v>
      </c>
    </row>
    <row r="19" spans="2:2">
      <c r="B19">
        <f>A13*B13</f>
        <v>667305.07999999996</v>
      </c>
    </row>
    <row r="20" spans="2:2">
      <c r="B20">
        <f>A14*B14</f>
        <v>329287.07700000005</v>
      </c>
    </row>
    <row r="21" spans="2:2">
      <c r="B21">
        <f>A15*B15</f>
        <v>18</v>
      </c>
    </row>
    <row r="22" spans="2:2">
      <c r="B22">
        <f>SUM(B17:B21)</f>
        <v>1234609.1869999999</v>
      </c>
    </row>
    <row r="23" spans="2:2">
      <c r="B23">
        <f>SUM(A11:A15)</f>
        <v>1000</v>
      </c>
    </row>
    <row r="24" spans="2:2">
      <c r="B24">
        <f>B22/B23</f>
        <v>1234.609187</v>
      </c>
    </row>
    <row r="25" spans="2:2">
      <c r="B25">
        <f>ROUND(B24,2)</f>
        <v>1234.6099999999999</v>
      </c>
    </row>
    <row r="27" spans="2:2">
      <c r="B27">
        <f>POWER(C11,2)</f>
        <v>28586.017476000005</v>
      </c>
    </row>
    <row r="28" spans="2:2">
      <c r="B28">
        <f>POWER(C12,2)</f>
        <v>188653.84164900001</v>
      </c>
    </row>
    <row r="29" spans="2:2">
      <c r="B29">
        <f>POWER(C13,2)</f>
        <v>183347.53248099997</v>
      </c>
    </row>
    <row r="30" spans="2:2">
      <c r="B30">
        <f>POWER(C14,2)</f>
        <v>174086.71416900001</v>
      </c>
    </row>
    <row r="31" spans="2:2">
      <c r="B31">
        <f>POWER(C15,2)</f>
        <v>4</v>
      </c>
    </row>
    <row r="32" spans="2:2">
      <c r="B32">
        <f>POWER(B11,2)</f>
        <v>38207.348089000006</v>
      </c>
    </row>
    <row r="33" spans="2:2">
      <c r="B33">
        <f>POWER(B12,2)</f>
        <v>1784361.64</v>
      </c>
    </row>
    <row r="34" spans="2:2">
      <c r="B34">
        <f>POWER(B13,2)</f>
        <v>2279314.8676</v>
      </c>
    </row>
    <row r="35" spans="2:2">
      <c r="B35">
        <f>POWER(B14,2)</f>
        <v>1196785.6765290003</v>
      </c>
    </row>
    <row r="36" spans="2:2">
      <c r="B36">
        <f>POWER(B15,2)</f>
        <v>81</v>
      </c>
    </row>
    <row r="37" spans="2:2">
      <c r="B37">
        <f>B27+B32</f>
        <v>66793.365565000015</v>
      </c>
    </row>
    <row r="38" spans="2:2">
      <c r="B38">
        <f>B28+B33</f>
        <v>1973015.481649</v>
      </c>
    </row>
    <row r="39" spans="2:2">
      <c r="B39">
        <f>B29+B34</f>
        <v>2462662.4000809998</v>
      </c>
    </row>
    <row r="40" spans="2:2">
      <c r="B40">
        <f>B30+B35</f>
        <v>1370872.3906980003</v>
      </c>
    </row>
    <row r="41" spans="2:2">
      <c r="B41">
        <f>B31+B36</f>
        <v>85</v>
      </c>
    </row>
    <row r="42" spans="2:2">
      <c r="B42">
        <f>A11*B37</f>
        <v>6011402.9008500017</v>
      </c>
    </row>
    <row r="43" spans="2:2">
      <c r="B43">
        <f>A12*B38</f>
        <v>325547554.472085</v>
      </c>
    </row>
    <row r="44" spans="2:2">
      <c r="B44">
        <f>A13*B39</f>
        <v>1088496780.8358018</v>
      </c>
    </row>
    <row r="45" spans="2:2">
      <c r="B45">
        <f>A14*B40</f>
        <v>412632589.60009807</v>
      </c>
    </row>
    <row r="46" spans="2:2">
      <c r="B46">
        <f>A15*B41</f>
        <v>170</v>
      </c>
    </row>
    <row r="47" spans="2:2">
      <c r="B47">
        <f>SUM(B42:B46)</f>
        <v>1832688497.808835</v>
      </c>
    </row>
    <row r="48" spans="2:2">
      <c r="B48">
        <f>B47/B23</f>
        <v>1832688.497808835</v>
      </c>
    </row>
    <row r="51" spans="2:2">
      <c r="B51">
        <f>B48-POWER(B24,2)</f>
        <v>308428.65318403393</v>
      </c>
    </row>
    <row r="53" spans="2:2">
      <c r="B53">
        <f>SQRT(LN(1+B51/POWER(B24,2)))</f>
        <v>0.42927272074806155</v>
      </c>
    </row>
    <row r="56" spans="2:2">
      <c r="B56">
        <f>LN(B24)-POWER(B53,2)/2</f>
        <v>7.0263722168194143</v>
      </c>
    </row>
    <row r="59" spans="2:2">
      <c r="B59">
        <f>EXP(B56+1.64485*B53)</f>
        <v>2281.2103846379614</v>
      </c>
    </row>
    <row r="60" spans="2:2">
      <c r="B60">
        <f>ROUND(B59,2)</f>
        <v>2281.21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spin-lock-1000-ngrinder-result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2026-03-29T21:27:49Z</dcterms:created>
  <dcterms:modified xsi:type="dcterms:W3CDTF">2026-03-29T21:29:00Z</dcterms:modified>
</cp:coreProperties>
</file>