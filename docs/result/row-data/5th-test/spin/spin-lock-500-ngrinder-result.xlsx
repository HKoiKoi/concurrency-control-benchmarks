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spin/"/>
    </mc:Choice>
  </mc:AlternateContent>
  <xr:revisionPtr revIDLastSave="0" documentId="13_ncr:9_{43DF71C5-D16B-6C43-B019-7CEF7B85BC9C}" xr6:coauthVersionLast="47" xr6:coauthVersionMax="47" xr10:uidLastSave="{00000000-0000-0000-0000-000000000000}"/>
  <bookViews>
    <workbookView xWindow="14700" yWindow="660" windowWidth="14700" windowHeight="18460" xr2:uid="{25B5283B-7E61-EB45-893C-416401DF222E}"/>
  </bookViews>
  <sheets>
    <sheet name="spin-lock-5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15" i="1"/>
  <c r="B36" i="1" s="1"/>
  <c r="A15" i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32" i="1" s="1"/>
  <c r="A11" i="1"/>
  <c r="B37" i="1" l="1"/>
  <c r="B42" i="1" s="1"/>
  <c r="B41" i="1"/>
  <c r="B46" i="1"/>
  <c r="B38" i="1"/>
  <c r="B43" i="1" s="1"/>
  <c r="B17" i="1"/>
  <c r="B21" i="1"/>
  <c r="B18" i="1"/>
  <c r="B47" i="1" l="1"/>
  <c r="B48" i="1" s="1"/>
  <c r="B22" i="1"/>
  <c r="B24" i="1" s="1"/>
  <c r="B25" i="1" l="1"/>
  <c r="B51" i="1"/>
  <c r="B53" i="1" s="1"/>
  <c r="B56" i="1" s="1"/>
  <c r="B59" i="1" s="1"/>
  <c r="B60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<sst xmlns="http://schemas.openxmlformats.org/spreadsheetml/2006/main" count="13" uniqueCount="13">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</sst>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0F869F7-21C1-C841-B6A6-C1FD550319C0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0F869F7-21C1-C841-B6A6-C1FD550319C0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30352A2-1EB3-AB46-B19A-C5AB8CC272F1}"/>
                </a:ext>
              </a:extLst>
            </xdr:cNvPr>
            <xdr:cNvSpPr txBox="1"/>
          </xdr:nvSpPr>
          <xdr:spPr>
            <a:xfrm>
              <a:off x="22733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30352A2-1EB3-AB46-B19A-C5AB8CC272F1}"/>
                </a:ext>
              </a:extLst>
            </xdr:cNvPr>
            <xdr:cNvSpPr txBox="1"/>
          </xdr:nvSpPr>
          <xdr:spPr>
            <a:xfrm>
              <a:off x="22733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40C54B-3FEA-094E-945E-6DC1F765ABD7}"/>
                </a:ext>
              </a:extLst>
            </xdr:cNvPr>
            <xdr:cNvSpPr txBox="1"/>
          </xdr:nvSpPr>
          <xdr:spPr>
            <a:xfrm>
              <a:off x="34036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740C54B-3FEA-094E-945E-6DC1F765ABD7}"/>
                </a:ext>
              </a:extLst>
            </xdr:cNvPr>
            <xdr:cNvSpPr txBox="1"/>
          </xdr:nvSpPr>
          <xdr:spPr>
            <a:xfrm>
              <a:off x="34036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5E7445-BC40-8041-8B1D-66E766034321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5E7445-BC40-8041-8B1D-66E766034321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5FFE6C-105F-ED48-9178-631F99E91637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B5FFE6C-105F-ED48-9178-631F99E91637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654FD03-56C2-A74F-83A2-ECA0FC8A8AC3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654FD03-56C2-A74F-83A2-ECA0FC8A8AC3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82CFB34-8B80-1746-8F64-B382722FAF0F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82CFB34-8B80-1746-8F64-B382722FAF0F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5544DF3-A3BF-C04F-9D7C-DAAD4F91BED0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5544DF3-A3BF-C04F-9D7C-DAAD4F91BED0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73F6FB0-BB2B-5544-92B5-508E5A7A94D6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73F6FB0-BB2B-5544-92B5-508E5A7A94D6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A53A972-5CF4-1343-8CB3-55B062B20C28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3A53A972-5CF4-1343-8CB3-55B062B20C28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5D9E4B3-7BBD-684A-955A-0E8F2CED0F10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5D9E4B3-7BBD-684A-955A-0E8F2CED0F10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69CA9CA-A86A-9641-B7B3-23312F7C951D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69CA9CA-A86A-9641-B7B3-23312F7C951D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D5BDF35-CB13-0C4F-A570-537A2AC1364D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D5BDF35-CB13-0C4F-A570-537A2AC1364D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917B14B-3701-9A43-BBCC-966CE3545C36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917B14B-3701-9A43-BBCC-966CE3545C36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D26B5E8-0E33-874A-9A0C-88D6FE9145B1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D26B5E8-0E33-874A-9A0C-88D6FE9145B1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C453459-25A7-2340-86FC-75D9C36217CB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C453459-25A7-2340-86FC-75D9C36217CB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B1CCF7E-223E-684D-8777-390852CCE2AB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B1CCF7E-223E-684D-8777-390852CCE2AB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8C20-83CA-1D4D-BD48-F557F3C55593}">
  <dimension ref="A1:M60"/>
  <sheetViews>
    <sheetView tabSelected="1" workbookViewId="0">
      <selection activeCell="E15" sqref="E15"/>
    </sheetView>
  </sheetViews>
  <sheetFormatPr baseColWidth="10" defaultRowHeight="18"/>
  <cols>
    <col min="1" max="1" width="25.5703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4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46110.877326388887</v>
      </c>
      <c r="B2">
        <v>408</v>
      </c>
      <c r="C2">
        <v>92</v>
      </c>
      <c r="D2">
        <v>0</v>
      </c>
      <c r="E2">
        <v>530.79300000000001</v>
      </c>
      <c r="F2">
        <v>323.80900000000003</v>
      </c>
      <c r="G2">
        <v>46</v>
      </c>
      <c r="H2">
        <v>74</v>
      </c>
      <c r="I2">
        <v>3404</v>
      </c>
      <c r="J2">
        <v>0</v>
      </c>
      <c r="K2">
        <v>0</v>
      </c>
      <c r="L2">
        <v>93.652000000000001</v>
      </c>
      <c r="M2">
        <v>132.02199999999999</v>
      </c>
    </row>
    <row r="3" spans="1:13">
      <c r="A3" s="1">
        <v>46110.877349537041</v>
      </c>
      <c r="B3">
        <v>400</v>
      </c>
      <c r="C3">
        <v>8</v>
      </c>
      <c r="D3">
        <v>0</v>
      </c>
      <c r="E3">
        <v>7.5</v>
      </c>
      <c r="F3">
        <v>1.4139999999999999</v>
      </c>
      <c r="G3">
        <v>4</v>
      </c>
      <c r="H3">
        <v>74</v>
      </c>
      <c r="I3">
        <v>296</v>
      </c>
      <c r="J3">
        <v>0</v>
      </c>
      <c r="K3">
        <v>0</v>
      </c>
      <c r="L3">
        <v>1</v>
      </c>
      <c r="M3">
        <v>1.25</v>
      </c>
    </row>
    <row r="4" spans="1:13">
      <c r="A4" s="1">
        <v>46110.877372685187</v>
      </c>
      <c r="B4">
        <v>120</v>
      </c>
      <c r="C4">
        <v>280</v>
      </c>
      <c r="D4">
        <v>0</v>
      </c>
      <c r="E4">
        <v>696.51400000000001</v>
      </c>
      <c r="F4">
        <v>358.49599999999998</v>
      </c>
      <c r="G4">
        <v>140</v>
      </c>
      <c r="H4">
        <v>132.5</v>
      </c>
      <c r="I4">
        <v>18550</v>
      </c>
      <c r="J4">
        <v>180</v>
      </c>
      <c r="K4">
        <v>0</v>
      </c>
      <c r="L4">
        <v>172.989</v>
      </c>
      <c r="M4">
        <v>227.8</v>
      </c>
    </row>
    <row r="5" spans="1:13">
      <c r="A5" s="1">
        <v>46110.877395833333</v>
      </c>
      <c r="B5">
        <v>2</v>
      </c>
      <c r="C5">
        <v>118</v>
      </c>
      <c r="D5">
        <v>0</v>
      </c>
      <c r="E5">
        <v>710.39800000000002</v>
      </c>
      <c r="F5">
        <v>337.79599999999999</v>
      </c>
      <c r="G5">
        <v>59</v>
      </c>
      <c r="H5">
        <v>165</v>
      </c>
      <c r="I5">
        <v>9735</v>
      </c>
      <c r="J5">
        <v>118</v>
      </c>
      <c r="K5">
        <v>0</v>
      </c>
      <c r="L5">
        <v>226.76300000000001</v>
      </c>
      <c r="M5">
        <v>259.822</v>
      </c>
    </row>
    <row r="6" spans="1:13">
      <c r="A6" s="1">
        <v>46110.877418981479</v>
      </c>
      <c r="B6">
        <v>0</v>
      </c>
      <c r="C6">
        <v>2</v>
      </c>
      <c r="D6">
        <v>0</v>
      </c>
      <c r="E6">
        <v>12</v>
      </c>
      <c r="F6">
        <v>3</v>
      </c>
      <c r="G6">
        <v>1</v>
      </c>
      <c r="H6">
        <v>165</v>
      </c>
      <c r="I6">
        <v>165</v>
      </c>
      <c r="J6">
        <v>2</v>
      </c>
      <c r="K6">
        <v>0</v>
      </c>
      <c r="L6">
        <v>4</v>
      </c>
      <c r="M6">
        <v>6</v>
      </c>
    </row>
    <row r="11" spans="1:13">
      <c r="A11">
        <f>C2</f>
        <v>92</v>
      </c>
      <c r="B11">
        <f t="shared" ref="B11:C15" si="0">E2</f>
        <v>530.79300000000001</v>
      </c>
      <c r="C11">
        <f t="shared" si="0"/>
        <v>323.80900000000003</v>
      </c>
    </row>
    <row r="12" spans="1:13">
      <c r="A12">
        <f>C3</f>
        <v>8</v>
      </c>
      <c r="B12">
        <f t="shared" si="0"/>
        <v>7.5</v>
      </c>
      <c r="C12">
        <f t="shared" si="0"/>
        <v>1.4139999999999999</v>
      </c>
    </row>
    <row r="13" spans="1:13">
      <c r="A13">
        <f>C4</f>
        <v>280</v>
      </c>
      <c r="B13">
        <f t="shared" si="0"/>
        <v>696.51400000000001</v>
      </c>
      <c r="C13">
        <f t="shared" si="0"/>
        <v>358.49599999999998</v>
      </c>
    </row>
    <row r="14" spans="1:13">
      <c r="A14">
        <f>C5</f>
        <v>118</v>
      </c>
      <c r="B14">
        <f t="shared" si="0"/>
        <v>710.39800000000002</v>
      </c>
      <c r="C14">
        <f t="shared" si="0"/>
        <v>337.79599999999999</v>
      </c>
    </row>
    <row r="15" spans="1:13">
      <c r="A15">
        <f>C6</f>
        <v>2</v>
      </c>
      <c r="B15">
        <f t="shared" si="0"/>
        <v>12</v>
      </c>
      <c r="C15">
        <f t="shared" si="0"/>
        <v>3</v>
      </c>
    </row>
    <row r="17" spans="2:2">
      <c r="B17">
        <f>A11*B11</f>
        <v>48832.955999999998</v>
      </c>
    </row>
    <row r="18" spans="2:2">
      <c r="B18">
        <f>A12*B12</f>
        <v>60</v>
      </c>
    </row>
    <row r="19" spans="2:2">
      <c r="B19">
        <f>A13*B13</f>
        <v>195023.92</v>
      </c>
    </row>
    <row r="20" spans="2:2">
      <c r="B20">
        <f>A14*B14</f>
        <v>83826.964000000007</v>
      </c>
    </row>
    <row r="21" spans="2:2">
      <c r="B21">
        <f>A15*B15</f>
        <v>24</v>
      </c>
    </row>
    <row r="22" spans="2:2">
      <c r="B22">
        <f>SUM(B17:B21)</f>
        <v>327767.84000000003</v>
      </c>
    </row>
    <row r="23" spans="2:2">
      <c r="B23">
        <f>SUM(A11:A15)</f>
        <v>500</v>
      </c>
    </row>
    <row r="24" spans="2:2">
      <c r="B24">
        <f>B22/B23</f>
        <v>655.53568000000007</v>
      </c>
    </row>
    <row r="25" spans="2:2">
      <c r="B25">
        <f>ROUND(B24,2)</f>
        <v>655.54</v>
      </c>
    </row>
    <row r="27" spans="2:2">
      <c r="B27">
        <f>POWER(C11,2)</f>
        <v>104852.26848100002</v>
      </c>
    </row>
    <row r="28" spans="2:2">
      <c r="B28">
        <f>POWER(C12,2)</f>
        <v>1.9993959999999997</v>
      </c>
    </row>
    <row r="29" spans="2:2">
      <c r="B29">
        <f>POWER(C13,2)</f>
        <v>128519.38201599999</v>
      </c>
    </row>
    <row r="30" spans="2:2">
      <c r="B30">
        <f>POWER(C14,2)</f>
        <v>114106.13761599999</v>
      </c>
    </row>
    <row r="31" spans="2:2">
      <c r="B31">
        <f>POWER(C15,2)</f>
        <v>9</v>
      </c>
    </row>
    <row r="32" spans="2:2">
      <c r="B32">
        <f>POWER(B11,2)</f>
        <v>281741.20884899999</v>
      </c>
    </row>
    <row r="33" spans="2:2">
      <c r="B33">
        <f>POWER(B12,2)</f>
        <v>56.25</v>
      </c>
    </row>
    <row r="34" spans="2:2">
      <c r="B34">
        <f>POWER(B13,2)</f>
        <v>485131.75219600002</v>
      </c>
    </row>
    <row r="35" spans="2:2">
      <c r="B35">
        <f>POWER(B14,2)</f>
        <v>504665.31840400002</v>
      </c>
    </row>
    <row r="36" spans="2:2">
      <c r="B36">
        <f>POWER(B15,2)</f>
        <v>144</v>
      </c>
    </row>
    <row r="37" spans="2:2">
      <c r="B37">
        <f>B27+B32</f>
        <v>386593.47733000002</v>
      </c>
    </row>
    <row r="38" spans="2:2">
      <c r="B38">
        <f>B28+B33</f>
        <v>58.249395999999997</v>
      </c>
    </row>
    <row r="39" spans="2:2">
      <c r="B39">
        <f>B29+B34</f>
        <v>613651.13421200006</v>
      </c>
    </row>
    <row r="40" spans="2:2">
      <c r="B40">
        <f>B30+B35</f>
        <v>618771.45602000004</v>
      </c>
    </row>
    <row r="41" spans="2:2">
      <c r="B41">
        <f>B31+B36</f>
        <v>153</v>
      </c>
    </row>
    <row r="42" spans="2:2">
      <c r="B42">
        <f>A11*B37</f>
        <v>35566599.914360002</v>
      </c>
    </row>
    <row r="43" spans="2:2">
      <c r="B43">
        <f>A12*B38</f>
        <v>465.99516799999998</v>
      </c>
    </row>
    <row r="44" spans="2:2">
      <c r="B44">
        <f>A13*B39</f>
        <v>171822317.57936001</v>
      </c>
    </row>
    <row r="45" spans="2:2">
      <c r="B45">
        <f>A14*B40</f>
        <v>73015031.81036</v>
      </c>
    </row>
    <row r="46" spans="2:2">
      <c r="B46">
        <f>A15*B41</f>
        <v>306</v>
      </c>
    </row>
    <row r="47" spans="2:2">
      <c r="B47">
        <f>SUM(B42:B46)</f>
        <v>280404721.29924804</v>
      </c>
    </row>
    <row r="48" spans="2:2">
      <c r="B48">
        <f>B47/B23</f>
        <v>560809.4425984961</v>
      </c>
    </row>
    <row r="51" spans="2:2">
      <c r="B51">
        <f>B48-POWER(B24,2)</f>
        <v>131082.41484543361</v>
      </c>
    </row>
    <row r="53" spans="2:2">
      <c r="B53">
        <f>SQRT(LN(1+B51/POWER(B24,2)))</f>
        <v>0.5159757604598163</v>
      </c>
    </row>
    <row r="56" spans="2:2">
      <c r="B56">
        <f>LN(B24)-POWER(B53,2)/2</f>
        <v>6.3523372407628615</v>
      </c>
    </row>
    <row r="59" spans="2:2">
      <c r="B59">
        <f>EXP(B56+1.64485*B53)</f>
        <v>1340.8244572562376</v>
      </c>
    </row>
    <row r="60" spans="2:2">
      <c r="B60">
        <f>ROUND(B59,2)</f>
        <v>1340.82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spin-lock-500-ngrinder-result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2026-03-29T21:24:35Z</dcterms:created>
  <dcterms:modified xsi:type="dcterms:W3CDTF">2026-03-29T21:25:57Z</dcterms:modified>
</cp:coreProperties>
</file>