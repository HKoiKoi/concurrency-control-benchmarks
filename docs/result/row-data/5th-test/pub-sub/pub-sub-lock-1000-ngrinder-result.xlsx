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5th-test/pub-sub/"/>
    </mc:Choice>
  </mc:AlternateContent>
  <xr:revisionPtr revIDLastSave="0" documentId="13_ncr:9_{2A502F72-B1C0-364E-8341-7DF0EF72909E}" xr6:coauthVersionLast="47" xr6:coauthVersionMax="47" xr10:uidLastSave="{00000000-0000-0000-0000-000000000000}"/>
  <bookViews>
    <workbookView xWindow="14700" yWindow="660" windowWidth="14700" windowHeight="18460" xr2:uid="{184BC26F-35AA-014E-B7BB-CBEA8EE8D4E0}"/>
  </bookViews>
  <sheets>
    <sheet name="pub-sub-lock-1000-ngrinder-res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35" i="1"/>
  <c r="B47" i="1" s="1"/>
  <c r="B53" i="1" s="1"/>
  <c r="B34" i="1"/>
  <c r="B46" i="1" s="1"/>
  <c r="B52" i="1" s="1"/>
  <c r="B32" i="1"/>
  <c r="B31" i="1"/>
  <c r="B43" i="1" s="1"/>
  <c r="B24" i="1"/>
  <c r="B21" i="1"/>
  <c r="B20" i="1"/>
  <c r="C17" i="1"/>
  <c r="B17" i="1"/>
  <c r="A17" i="1"/>
  <c r="C16" i="1"/>
  <c r="B16" i="1"/>
  <c r="B40" i="1" s="1"/>
  <c r="A16" i="1"/>
  <c r="B23" i="1" s="1"/>
  <c r="C15" i="1"/>
  <c r="B33" i="1" s="1"/>
  <c r="B15" i="1"/>
  <c r="B39" i="1" s="1"/>
  <c r="A15" i="1"/>
  <c r="B22" i="1" s="1"/>
  <c r="C14" i="1"/>
  <c r="B14" i="1"/>
  <c r="B38" i="1" s="1"/>
  <c r="A14" i="1"/>
  <c r="C13" i="1"/>
  <c r="B13" i="1"/>
  <c r="B37" i="1" s="1"/>
  <c r="A13" i="1"/>
  <c r="C12" i="1"/>
  <c r="B30" i="1" s="1"/>
  <c r="B12" i="1"/>
  <c r="B36" i="1" s="1"/>
  <c r="A12" i="1"/>
  <c r="B19" i="1" s="1"/>
  <c r="B25" i="1" s="1"/>
  <c r="B45" i="1" l="1"/>
  <c r="B42" i="1"/>
  <c r="B44" i="1"/>
  <c r="B50" i="1" s="1"/>
  <c r="B49" i="1"/>
  <c r="B51" i="1"/>
  <c r="B48" i="1"/>
  <c r="B26" i="1"/>
  <c r="B27" i="1" s="1"/>
  <c r="B28" i="1" l="1"/>
  <c r="B54" i="1"/>
  <c r="B55" i="1" s="1"/>
  <c r="B58" i="1" s="1"/>
  <c r="B60" i="1" s="1"/>
  <c r="B63" i="1" s="1"/>
  <c r="B66" i="1" s="1"/>
  <c r="B67" i="1" s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<sst xmlns="http://schemas.openxmlformats.org/spreadsheetml/2006/main" count="13" uniqueCount="13">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</sst>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2684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821A80-A8FF-BA49-8625-598125B613BA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6821A80-A8FF-BA49-8625-598125B613BA}"/>
                </a:ext>
              </a:extLst>
            </xdr:cNvPr>
            <xdr:cNvSpPr txBox="1"/>
          </xdr:nvSpPr>
          <xdr:spPr>
            <a:xfrm>
              <a:off x="0" y="22860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10</xdr:row>
      <xdr:rowOff>0</xdr:rowOff>
    </xdr:from>
    <xdr:ext cx="279628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CAB9031-B62A-4D43-905F-99AECC9100BC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6CAB9031-B62A-4D43-905F-99AECC9100BC}"/>
                </a:ext>
              </a:extLst>
            </xdr:cNvPr>
            <xdr:cNvSpPr txBox="1"/>
          </xdr:nvSpPr>
          <xdr:spPr>
            <a:xfrm>
              <a:off x="2222500" y="22860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10</xdr:row>
      <xdr:rowOff>0</xdr:rowOff>
    </xdr:from>
    <xdr:ext cx="185692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E0E4A20-BFAC-B443-A2CA-BD5E2D24415C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E0E4A20-BFAC-B443-A2CA-BD5E2D24415C}"/>
                </a:ext>
              </a:extLst>
            </xdr:cNvPr>
            <xdr:cNvSpPr txBox="1"/>
          </xdr:nvSpPr>
          <xdr:spPr>
            <a:xfrm>
              <a:off x="3352800" y="22860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18</xdr:row>
      <xdr:rowOff>0</xdr:rowOff>
    </xdr:from>
    <xdr:ext cx="453907" cy="34599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96696E-F5E1-DC4D-8467-B92132D76D46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7C96696E-F5E1-DC4D-8467-B92132D76D46}"/>
                </a:ext>
              </a:extLst>
            </xdr:cNvPr>
            <xdr:cNvSpPr txBox="1"/>
          </xdr:nvSpPr>
          <xdr:spPr>
            <a:xfrm>
              <a:off x="0" y="41148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24</xdr:row>
      <xdr:rowOff>0</xdr:rowOff>
    </xdr:from>
    <xdr:ext cx="1049454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8AADC74-87BE-2949-B3EE-D88F8CC68786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C8AADC74-87BE-2949-B3EE-D88F8CC68786}"/>
                </a:ext>
              </a:extLst>
            </xdr:cNvPr>
            <xdr:cNvSpPr txBox="1"/>
          </xdr:nvSpPr>
          <xdr:spPr>
            <a:xfrm>
              <a:off x="0" y="54864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25</xdr:row>
      <xdr:rowOff>0</xdr:rowOff>
    </xdr:from>
    <xdr:ext cx="806503" cy="35900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60372E3-E2A0-D54A-BE90-235705F9CA9B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60372E3-E2A0-D54A-BE90-235705F9CA9B}"/>
                </a:ext>
              </a:extLst>
            </xdr:cNvPr>
            <xdr:cNvSpPr txBox="1"/>
          </xdr:nvSpPr>
          <xdr:spPr>
            <a:xfrm>
              <a:off x="0" y="57150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1303947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FE8CD6B-1BAE-574A-8E51-FD9D4F297842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EFE8CD6B-1BAE-574A-8E51-FD9D4F297842}"/>
                </a:ext>
              </a:extLst>
            </xdr:cNvPr>
            <xdr:cNvSpPr txBox="1"/>
          </xdr:nvSpPr>
          <xdr:spPr>
            <a:xfrm>
              <a:off x="0" y="59436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29</xdr:row>
      <xdr:rowOff>0</xdr:rowOff>
    </xdr:from>
    <xdr:ext cx="241300" cy="52700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9E029F8-B572-0A49-A909-D1636FC94258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9E029F8-B572-0A49-A909-D1636FC94258}"/>
                </a:ext>
              </a:extLst>
            </xdr:cNvPr>
            <xdr:cNvSpPr txBox="1"/>
          </xdr:nvSpPr>
          <xdr:spPr>
            <a:xfrm>
              <a:off x="0" y="66294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35</xdr:row>
      <xdr:rowOff>0</xdr:rowOff>
    </xdr:from>
    <xdr:ext cx="253787" cy="52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F6E5702-CCC9-6545-BDA3-E31789F6F9DE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F6E5702-CCC9-6545-BDA3-E31789F6F9DE}"/>
                </a:ext>
              </a:extLst>
            </xdr:cNvPr>
            <xdr:cNvSpPr txBox="1"/>
          </xdr:nvSpPr>
          <xdr:spPr>
            <a:xfrm>
              <a:off x="0" y="80010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1056379" cy="28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BD26C5A-05D7-F943-8571-9F3D4C183D0F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EBD26C5A-05D7-F943-8571-9F3D4C183D0F}"/>
                </a:ext>
              </a:extLst>
            </xdr:cNvPr>
            <xdr:cNvSpPr txBox="1"/>
          </xdr:nvSpPr>
          <xdr:spPr>
            <a:xfrm>
              <a:off x="0" y="9372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726930" cy="26488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D1D6D39-E4CE-384A-B2AF-A64FF6B85323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D1D6D39-E4CE-384A-B2AF-A64FF6B85323}"/>
                </a:ext>
              </a:extLst>
            </xdr:cNvPr>
            <xdr:cNvSpPr txBox="1"/>
          </xdr:nvSpPr>
          <xdr:spPr>
            <a:xfrm>
              <a:off x="0" y="107442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53</xdr:row>
      <xdr:rowOff>0</xdr:rowOff>
    </xdr:from>
    <xdr:ext cx="1014380" cy="244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8B07EF-A1CB-DF47-A503-4BC43EF56F4B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88B07EF-A1CB-DF47-A503-4BC43EF56F4B}"/>
                </a:ext>
              </a:extLst>
            </xdr:cNvPr>
            <xdr:cNvSpPr txBox="1"/>
          </xdr:nvSpPr>
          <xdr:spPr>
            <a:xfrm>
              <a:off x="0" y="121158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54</xdr:row>
      <xdr:rowOff>0</xdr:rowOff>
    </xdr:from>
    <xdr:ext cx="1759858" cy="49892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1B3B5D8-77CC-674F-8A57-E22BF192AD0F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1B3B5D8-77CC-674F-8A57-E22BF192AD0F}"/>
                </a:ext>
              </a:extLst>
            </xdr:cNvPr>
            <xdr:cNvSpPr txBox="1"/>
          </xdr:nvSpPr>
          <xdr:spPr>
            <a:xfrm>
              <a:off x="0" y="123444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57</xdr:row>
      <xdr:rowOff>0</xdr:rowOff>
    </xdr:from>
    <xdr:ext cx="2239972" cy="2485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9B50A67-6E8D-8742-AD15-E3DCE2A71936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9B50A67-6E8D-8742-AD15-E3DCE2A71936}"/>
                </a:ext>
              </a:extLst>
            </xdr:cNvPr>
            <xdr:cNvSpPr txBox="1"/>
          </xdr:nvSpPr>
          <xdr:spPr>
            <a:xfrm>
              <a:off x="0" y="130302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59</xdr:row>
      <xdr:rowOff>0</xdr:rowOff>
    </xdr:from>
    <xdr:ext cx="1559722" cy="55335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E31A399-8109-A742-9955-1C5FF3FAECD6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E31A399-8109-A742-9955-1C5FF3FAECD6}"/>
                </a:ext>
              </a:extLst>
            </xdr:cNvPr>
            <xdr:cNvSpPr txBox="1"/>
          </xdr:nvSpPr>
          <xdr:spPr>
            <a:xfrm>
              <a:off x="0" y="134874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62</xdr:row>
      <xdr:rowOff>0</xdr:rowOff>
    </xdr:from>
    <xdr:ext cx="1559722" cy="45357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30F802E-23AE-9340-BAE7-2F26BEF9D473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330F802E-23AE-9340-BAE7-2F26BEF9D473}"/>
                </a:ext>
              </a:extLst>
            </xdr:cNvPr>
            <xdr:cNvSpPr txBox="1"/>
          </xdr:nvSpPr>
          <xdr:spPr>
            <a:xfrm>
              <a:off x="0" y="141732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65</xdr:row>
      <xdr:rowOff>0</xdr:rowOff>
    </xdr:from>
    <xdr:ext cx="2071786" cy="18299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4DD5D27-0FEA-4546-8043-F7D315DE2485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4DD5D27-0FEA-4546-8043-F7D315DE2485}"/>
                </a:ext>
              </a:extLst>
            </xdr:cNvPr>
            <xdr:cNvSpPr txBox="1"/>
          </xdr:nvSpPr>
          <xdr:spPr>
            <a:xfrm>
              <a:off x="0" y="148590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C038-4F3E-4B4B-9870-101E1D526DE8}">
  <dimension ref="A1:M67"/>
  <sheetViews>
    <sheetView tabSelected="1" topLeftCell="A41" workbookViewId="0">
      <selection activeCell="E61" sqref="E61"/>
    </sheetView>
  </sheetViews>
  <sheetFormatPr baseColWidth="10" defaultRowHeight="18"/>
  <cols>
    <col min="1" max="1" width="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46110.912129629629</v>
      </c>
      <c r="B2">
        <v>819</v>
      </c>
      <c r="C2">
        <v>236</v>
      </c>
      <c r="D2">
        <v>0</v>
      </c>
      <c r="E2">
        <v>519.04700000000003</v>
      </c>
      <c r="F2">
        <v>552.16700000000003</v>
      </c>
      <c r="G2">
        <v>118</v>
      </c>
      <c r="H2">
        <v>90.424000000000007</v>
      </c>
      <c r="I2">
        <v>10670</v>
      </c>
      <c r="J2">
        <v>36</v>
      </c>
      <c r="K2">
        <v>0</v>
      </c>
      <c r="L2">
        <v>174.09299999999999</v>
      </c>
      <c r="M2">
        <v>268.411</v>
      </c>
    </row>
    <row r="3" spans="1:13">
      <c r="A3" s="1">
        <v>46110.912152777775</v>
      </c>
      <c r="B3">
        <v>608</v>
      </c>
      <c r="C3">
        <v>159</v>
      </c>
      <c r="D3">
        <v>0</v>
      </c>
      <c r="E3">
        <v>834.774</v>
      </c>
      <c r="F3">
        <v>525.63599999999997</v>
      </c>
      <c r="G3">
        <v>79.5</v>
      </c>
      <c r="H3">
        <v>165</v>
      </c>
      <c r="I3">
        <v>13117.5</v>
      </c>
      <c r="J3">
        <v>159</v>
      </c>
      <c r="K3">
        <v>0</v>
      </c>
      <c r="L3">
        <v>248.49100000000001</v>
      </c>
      <c r="M3">
        <v>349.39</v>
      </c>
    </row>
    <row r="4" spans="1:13">
      <c r="A4" s="1">
        <v>46110.912175925929</v>
      </c>
      <c r="B4">
        <v>506</v>
      </c>
      <c r="C4">
        <v>101</v>
      </c>
      <c r="D4">
        <v>0</v>
      </c>
      <c r="E4">
        <v>808.851</v>
      </c>
      <c r="F4">
        <v>307.09800000000001</v>
      </c>
      <c r="G4">
        <v>50.5</v>
      </c>
      <c r="H4">
        <v>165</v>
      </c>
      <c r="I4">
        <v>8332.5</v>
      </c>
      <c r="J4">
        <v>101</v>
      </c>
      <c r="K4">
        <v>0</v>
      </c>
      <c r="L4">
        <v>272.68299999999999</v>
      </c>
      <c r="M4">
        <v>337.733</v>
      </c>
    </row>
    <row r="5" spans="1:13">
      <c r="A5" s="1">
        <v>46110.912199074075</v>
      </c>
      <c r="B5">
        <v>87</v>
      </c>
      <c r="C5">
        <v>433</v>
      </c>
      <c r="D5">
        <v>0</v>
      </c>
      <c r="E5">
        <v>1469.307</v>
      </c>
      <c r="F5">
        <v>472.94799999999998</v>
      </c>
      <c r="G5">
        <v>216.5</v>
      </c>
      <c r="H5">
        <v>165</v>
      </c>
      <c r="I5">
        <v>35722.5</v>
      </c>
      <c r="J5">
        <v>433</v>
      </c>
      <c r="K5">
        <v>0</v>
      </c>
      <c r="L5">
        <v>344.70400000000001</v>
      </c>
      <c r="M5">
        <v>446.10899999999998</v>
      </c>
    </row>
    <row r="6" spans="1:13">
      <c r="A6" s="1">
        <v>46110.912222222221</v>
      </c>
      <c r="B6">
        <v>1</v>
      </c>
      <c r="C6">
        <v>70</v>
      </c>
      <c r="D6">
        <v>0</v>
      </c>
      <c r="E6">
        <v>773.41399999999999</v>
      </c>
      <c r="F6">
        <v>322.67500000000001</v>
      </c>
      <c r="G6">
        <v>35</v>
      </c>
      <c r="H6">
        <v>165</v>
      </c>
      <c r="I6">
        <v>5775</v>
      </c>
      <c r="J6">
        <v>70</v>
      </c>
      <c r="K6">
        <v>0</v>
      </c>
      <c r="L6">
        <v>169.91399999999999</v>
      </c>
      <c r="M6">
        <v>293.87099999999998</v>
      </c>
    </row>
    <row r="7" spans="1:13">
      <c r="A7" s="1">
        <v>46110.912245370368</v>
      </c>
      <c r="B7">
        <v>0</v>
      </c>
      <c r="C7">
        <v>1</v>
      </c>
      <c r="D7">
        <v>0</v>
      </c>
      <c r="E7">
        <v>10</v>
      </c>
      <c r="F7">
        <v>0</v>
      </c>
      <c r="G7">
        <v>0.5</v>
      </c>
      <c r="H7">
        <v>165</v>
      </c>
      <c r="I7">
        <v>82.5</v>
      </c>
      <c r="J7">
        <v>1</v>
      </c>
      <c r="K7">
        <v>0</v>
      </c>
      <c r="L7">
        <v>4</v>
      </c>
      <c r="M7">
        <v>5</v>
      </c>
    </row>
    <row r="12" spans="1:13">
      <c r="A12">
        <f t="shared" ref="A12:A17" si="0">C2</f>
        <v>236</v>
      </c>
      <c r="B12">
        <f t="shared" ref="B12:C17" si="1">E2</f>
        <v>519.04700000000003</v>
      </c>
      <c r="C12">
        <f t="shared" si="1"/>
        <v>552.16700000000003</v>
      </c>
    </row>
    <row r="13" spans="1:13">
      <c r="A13">
        <f t="shared" si="0"/>
        <v>159</v>
      </c>
      <c r="B13">
        <f t="shared" si="1"/>
        <v>834.774</v>
      </c>
      <c r="C13">
        <f t="shared" si="1"/>
        <v>525.63599999999997</v>
      </c>
    </row>
    <row r="14" spans="1:13">
      <c r="A14">
        <f t="shared" si="0"/>
        <v>101</v>
      </c>
      <c r="B14">
        <f t="shared" si="1"/>
        <v>808.851</v>
      </c>
      <c r="C14">
        <f t="shared" si="1"/>
        <v>307.09800000000001</v>
      </c>
    </row>
    <row r="15" spans="1:13">
      <c r="A15">
        <f t="shared" si="0"/>
        <v>433</v>
      </c>
      <c r="B15">
        <f t="shared" si="1"/>
        <v>1469.307</v>
      </c>
      <c r="C15">
        <f t="shared" si="1"/>
        <v>472.94799999999998</v>
      </c>
    </row>
    <row r="16" spans="1:13">
      <c r="A16">
        <f t="shared" si="0"/>
        <v>70</v>
      </c>
      <c r="B16">
        <f t="shared" si="1"/>
        <v>773.41399999999999</v>
      </c>
      <c r="C16">
        <f t="shared" si="1"/>
        <v>322.67500000000001</v>
      </c>
    </row>
    <row r="17" spans="1:3">
      <c r="A17">
        <f t="shared" si="0"/>
        <v>1</v>
      </c>
      <c r="B17">
        <f t="shared" si="1"/>
        <v>10</v>
      </c>
      <c r="C17">
        <f t="shared" si="1"/>
        <v>0</v>
      </c>
    </row>
    <row r="19" spans="1:3">
      <c r="B19">
        <f t="shared" ref="B19:B24" si="2">A12*B12</f>
        <v>122495.092</v>
      </c>
    </row>
    <row r="20" spans="1:3">
      <c r="B20">
        <f t="shared" si="2"/>
        <v>132729.06599999999</v>
      </c>
    </row>
    <row r="21" spans="1:3">
      <c r="B21">
        <f t="shared" si="2"/>
        <v>81693.951000000001</v>
      </c>
    </row>
    <row r="22" spans="1:3">
      <c r="B22">
        <f t="shared" si="2"/>
        <v>636209.93099999998</v>
      </c>
    </row>
    <row r="23" spans="1:3">
      <c r="B23">
        <f t="shared" si="2"/>
        <v>54138.979999999996</v>
      </c>
    </row>
    <row r="24" spans="1:3">
      <c r="B24">
        <f t="shared" si="2"/>
        <v>10</v>
      </c>
    </row>
    <row r="25" spans="1:3">
      <c r="B25">
        <f>SUM(B19:B24)</f>
        <v>1027277.02</v>
      </c>
    </row>
    <row r="26" spans="1:3">
      <c r="B26">
        <f>SUM(A12:A17)</f>
        <v>1000</v>
      </c>
    </row>
    <row r="27" spans="1:3">
      <c r="B27">
        <f>B25/B26</f>
        <v>1027.27702</v>
      </c>
    </row>
    <row r="28" spans="1:3">
      <c r="B28">
        <f>ROUND(B27,2)</f>
        <v>1027.28</v>
      </c>
    </row>
    <row r="30" spans="1:3">
      <c r="B30">
        <f t="shared" ref="B30:B35" si="3">POWER(C12,2)</f>
        <v>304888.39588900004</v>
      </c>
    </row>
    <row r="31" spans="1:3">
      <c r="B31">
        <f t="shared" si="3"/>
        <v>276293.20449599996</v>
      </c>
    </row>
    <row r="32" spans="1:3">
      <c r="B32">
        <f t="shared" si="3"/>
        <v>94309.181604000012</v>
      </c>
    </row>
    <row r="33" spans="2:2">
      <c r="B33">
        <f t="shared" si="3"/>
        <v>223679.81070399997</v>
      </c>
    </row>
    <row r="34" spans="2:2">
      <c r="B34">
        <f t="shared" si="3"/>
        <v>104119.15562500001</v>
      </c>
    </row>
    <row r="35" spans="2:2">
      <c r="B35">
        <f t="shared" si="3"/>
        <v>0</v>
      </c>
    </row>
    <row r="36" spans="2:2">
      <c r="B36">
        <f t="shared" ref="B36:B41" si="4">POWER(B12,2)</f>
        <v>269409.78820900002</v>
      </c>
    </row>
    <row r="37" spans="2:2">
      <c r="B37">
        <f t="shared" si="4"/>
        <v>696847.63107600005</v>
      </c>
    </row>
    <row r="38" spans="2:2">
      <c r="B38">
        <f t="shared" si="4"/>
        <v>654239.94020099996</v>
      </c>
    </row>
    <row r="39" spans="2:2">
      <c r="B39">
        <f t="shared" si="4"/>
        <v>2158863.0602489999</v>
      </c>
    </row>
    <row r="40" spans="2:2">
      <c r="B40">
        <f t="shared" si="4"/>
        <v>598169.21539599996</v>
      </c>
    </row>
    <row r="41" spans="2:2">
      <c r="B41">
        <f t="shared" si="4"/>
        <v>100</v>
      </c>
    </row>
    <row r="42" spans="2:2">
      <c r="B42">
        <f t="shared" ref="B42:B47" si="5">B30+B36</f>
        <v>574298.18409800006</v>
      </c>
    </row>
    <row r="43" spans="2:2">
      <c r="B43">
        <f t="shared" si="5"/>
        <v>973140.83557200001</v>
      </c>
    </row>
    <row r="44" spans="2:2">
      <c r="B44">
        <f t="shared" si="5"/>
        <v>748549.121805</v>
      </c>
    </row>
    <row r="45" spans="2:2">
      <c r="B45">
        <f t="shared" si="5"/>
        <v>2382542.8709529997</v>
      </c>
    </row>
    <row r="46" spans="2:2">
      <c r="B46">
        <f t="shared" si="5"/>
        <v>702288.37102099997</v>
      </c>
    </row>
    <row r="47" spans="2:2">
      <c r="B47">
        <f t="shared" si="5"/>
        <v>100</v>
      </c>
    </row>
    <row r="48" spans="2:2">
      <c r="B48">
        <f t="shared" ref="B48:B53" si="6">A12*B42</f>
        <v>135534371.44712803</v>
      </c>
    </row>
    <row r="49" spans="2:2">
      <c r="B49">
        <f t="shared" si="6"/>
        <v>154729392.855948</v>
      </c>
    </row>
    <row r="50" spans="2:2">
      <c r="B50">
        <f t="shared" si="6"/>
        <v>75603461.302304998</v>
      </c>
    </row>
    <row r="51" spans="2:2">
      <c r="B51">
        <f t="shared" si="6"/>
        <v>1031641063.1226488</v>
      </c>
    </row>
    <row r="52" spans="2:2">
      <c r="B52">
        <f t="shared" si="6"/>
        <v>49160185.971469998</v>
      </c>
    </row>
    <row r="53" spans="2:2">
      <c r="B53">
        <f t="shared" si="6"/>
        <v>100</v>
      </c>
    </row>
    <row r="54" spans="2:2">
      <c r="B54">
        <f>SUM(B48:B53)</f>
        <v>1446668574.6994996</v>
      </c>
    </row>
    <row r="55" spans="2:2">
      <c r="B55">
        <f>B54/B26</f>
        <v>1446668.5746994996</v>
      </c>
    </row>
    <row r="58" spans="2:2">
      <c r="B58">
        <f>B55-POWER(B27,2)</f>
        <v>391370.49887941917</v>
      </c>
    </row>
    <row r="60" spans="2:2">
      <c r="B60">
        <f>SQRT(LN(1+B58/POWER(B27,2)))</f>
        <v>0.56164055677588687</v>
      </c>
    </row>
    <row r="63" spans="2:2">
      <c r="B63">
        <f>LN(B27)-POWER(B60,2)/2</f>
        <v>6.7769468531466277</v>
      </c>
    </row>
    <row r="66" spans="2:2">
      <c r="B66">
        <f>EXP(B63+1.64485*B60)</f>
        <v>2210.0298980715356</v>
      </c>
    </row>
    <row r="67" spans="2:2">
      <c r="B67">
        <f>ROUND(B66,2)</f>
        <v>2210.0300000000002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pub-sub-lock-1000-ngrinder-resu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2026-03-29T21:52:32Z</dcterms:created>
  <dcterms:modified xsi:type="dcterms:W3CDTF">2026-03-29T21:53:32Z</dcterms:modified>
</cp:coreProperties>
</file>