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pub-sub/"/>
    </mc:Choice>
  </mc:AlternateContent>
  <xr:revisionPtr revIDLastSave="0" documentId="13_ncr:9_{0B3A39CD-7B9F-D241-B87A-11E6384029E8}" xr6:coauthVersionLast="47" xr6:coauthVersionMax="47" xr10:uidLastSave="{00000000-0000-0000-0000-000000000000}"/>
  <bookViews>
    <workbookView xWindow="14700" yWindow="660" windowWidth="14700" windowHeight="18460" xr2:uid="{90F9F756-3433-3A45-95A6-49E317A33A8B}"/>
  </bookViews>
  <sheets>
    <sheet name="pub-sub-lock-5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41" i="1" s="1"/>
  <c r="B15" i="1"/>
  <c r="B36" i="1" s="1"/>
  <c r="A15" i="1"/>
  <c r="B46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2" i="1" s="1"/>
  <c r="B38" i="1"/>
  <c r="B43" i="1" s="1"/>
  <c r="B17" i="1"/>
  <c r="B18" i="1"/>
  <c r="B21" i="1"/>
  <c r="B47" i="1" l="1"/>
  <c r="B48" i="1" s="1"/>
  <c r="B22" i="1"/>
  <c r="B24" i="1" s="1"/>
  <c r="B25" i="1" l="1"/>
  <c r="B51" i="1"/>
  <c r="B53" i="1" s="1"/>
  <c r="B56" i="1" s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<sst xmlns="http://schemas.openxmlformats.org/spreadsheetml/2006/main" count="13" uniqueCount="13">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</sst>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C5D8E17-F31C-B34B-B2E0-BEBDB96F6B42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C5D8E17-F31C-B34B-B2E0-BEBDB96F6B42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71E15D-B5F6-A341-A0EF-B737484774A6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71E15D-B5F6-A341-A0EF-B737484774A6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40C925C-9381-5B44-AB5B-A78C603ACB4E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40C925C-9381-5B44-AB5B-A78C603ACB4E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127A744-9EC3-334B-927E-1D12FC121DF9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127A744-9EC3-334B-927E-1D12FC121DF9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0939F1-F3C4-A445-B104-9CB56416B799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0939F1-F3C4-A445-B104-9CB56416B799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24FDAFE-8143-2C47-9628-E394450014A8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24FDAFE-8143-2C47-9628-E394450014A8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4F28194-EF13-3448-894B-2BA3CBD12553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4F28194-EF13-3448-894B-2BA3CBD12553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134E487-9D20-4F42-941E-CE55F21F9B9A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134E487-9D20-4F42-941E-CE55F21F9B9A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5A923DE-7C30-2C4D-94DA-89701E69DFD4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5A923DE-7C30-2C4D-94DA-89701E69DFD4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863749-61EA-AC4D-BEE0-EF6D992004F3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863749-61EA-AC4D-BEE0-EF6D992004F3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86B4094-9082-A545-972F-20AEE222196F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86B4094-9082-A545-972F-20AEE222196F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A71D1BF-58E5-6646-B008-803E8D68B135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A71D1BF-58E5-6646-B008-803E8D68B135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206A867-B5FB-194C-85A9-1D42EF5E5B7C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206A867-B5FB-194C-85A9-1D42EF5E5B7C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87F9F6A-F894-F449-823A-7E5CB8E592AF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D87F9F6A-F894-F449-823A-7E5CB8E592AF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EA5E9-D303-114E-94D8-2491DDD82934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EA5E9-D303-114E-94D8-2491DDD82934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EDAD490-87E2-5B48-A57A-5E6CEF9D0517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EDAD490-87E2-5B48-A57A-5E6CEF9D0517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F02F368-2B20-C849-AB74-EBA8E9F28347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F02F368-2B20-C849-AB74-EBA8E9F28347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0D26-FBD2-BE42-AC2F-93BD3CDE5542}">
  <dimension ref="A1:M60"/>
  <sheetViews>
    <sheetView tabSelected="1" topLeftCell="A36" workbookViewId="0">
      <selection activeCell="B64" sqref="B64"/>
    </sheetView>
  </sheetViews>
  <sheetFormatPr baseColWidth="10" defaultRowHeight="18"/>
  <cols>
    <col min="1" max="1" width="23.855468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46110.898206018515</v>
      </c>
      <c r="B2">
        <v>405</v>
      </c>
      <c r="C2">
        <v>183</v>
      </c>
      <c r="D2">
        <v>0</v>
      </c>
      <c r="E2">
        <v>680.74900000000002</v>
      </c>
      <c r="F2">
        <v>425.19799999999998</v>
      </c>
      <c r="G2">
        <v>91.5</v>
      </c>
      <c r="H2">
        <v>77</v>
      </c>
      <c r="I2">
        <v>7045.5</v>
      </c>
      <c r="J2">
        <v>0</v>
      </c>
      <c r="K2">
        <v>0</v>
      </c>
      <c r="L2">
        <v>133.459</v>
      </c>
      <c r="M2">
        <v>191.90700000000001</v>
      </c>
    </row>
    <row r="3" spans="1:13">
      <c r="A3" s="1">
        <v>46110.898229166669</v>
      </c>
      <c r="B3">
        <v>93</v>
      </c>
      <c r="C3">
        <v>311</v>
      </c>
      <c r="D3">
        <v>0</v>
      </c>
      <c r="E3">
        <v>908.20600000000002</v>
      </c>
      <c r="F3">
        <v>299.33199999999999</v>
      </c>
      <c r="G3">
        <v>155.5</v>
      </c>
      <c r="H3">
        <v>160.19</v>
      </c>
      <c r="I3">
        <v>24909.5</v>
      </c>
      <c r="J3">
        <v>294</v>
      </c>
      <c r="K3">
        <v>0</v>
      </c>
      <c r="L3">
        <v>217.762</v>
      </c>
      <c r="M3">
        <v>321.81400000000002</v>
      </c>
    </row>
    <row r="4" spans="1:13">
      <c r="A4" s="1">
        <v>46110.898252314815</v>
      </c>
      <c r="B4">
        <v>2</v>
      </c>
      <c r="C4">
        <v>4</v>
      </c>
      <c r="D4">
        <v>0</v>
      </c>
      <c r="E4">
        <v>7</v>
      </c>
      <c r="F4">
        <v>2.121</v>
      </c>
      <c r="G4">
        <v>2</v>
      </c>
      <c r="H4">
        <v>165</v>
      </c>
      <c r="I4">
        <v>330</v>
      </c>
      <c r="J4">
        <v>4</v>
      </c>
      <c r="K4">
        <v>0</v>
      </c>
      <c r="L4">
        <v>1.5</v>
      </c>
      <c r="M4">
        <v>2.5</v>
      </c>
    </row>
    <row r="5" spans="1:13">
      <c r="A5" s="1">
        <v>46110.898275462961</v>
      </c>
      <c r="B5">
        <v>1</v>
      </c>
      <c r="C5">
        <v>1</v>
      </c>
      <c r="D5">
        <v>0</v>
      </c>
      <c r="E5">
        <v>13</v>
      </c>
      <c r="F5">
        <v>0</v>
      </c>
      <c r="G5">
        <v>0.5</v>
      </c>
      <c r="H5">
        <v>165</v>
      </c>
      <c r="I5">
        <v>82.5</v>
      </c>
      <c r="J5">
        <v>1</v>
      </c>
      <c r="K5">
        <v>0</v>
      </c>
      <c r="L5">
        <v>4</v>
      </c>
      <c r="M5">
        <v>6</v>
      </c>
    </row>
    <row r="6" spans="1:13">
      <c r="A6" s="1">
        <v>46110.898298611108</v>
      </c>
      <c r="B6">
        <v>1</v>
      </c>
      <c r="C6">
        <v>1</v>
      </c>
      <c r="D6">
        <v>0</v>
      </c>
      <c r="E6">
        <v>7</v>
      </c>
      <c r="F6">
        <v>0</v>
      </c>
      <c r="G6">
        <v>0.5</v>
      </c>
      <c r="H6">
        <v>165</v>
      </c>
      <c r="I6">
        <v>82.5</v>
      </c>
      <c r="J6">
        <v>1</v>
      </c>
      <c r="K6">
        <v>0</v>
      </c>
      <c r="L6">
        <v>2</v>
      </c>
      <c r="M6">
        <v>3</v>
      </c>
    </row>
    <row r="11" spans="1:13">
      <c r="A11">
        <f>C2</f>
        <v>183</v>
      </c>
      <c r="B11">
        <f t="shared" ref="B11:C15" si="0">E2</f>
        <v>680.74900000000002</v>
      </c>
      <c r="C11">
        <f t="shared" si="0"/>
        <v>425.19799999999998</v>
      </c>
    </row>
    <row r="12" spans="1:13">
      <c r="A12">
        <f>C3</f>
        <v>311</v>
      </c>
      <c r="B12">
        <f t="shared" si="0"/>
        <v>908.20600000000002</v>
      </c>
      <c r="C12">
        <f t="shared" si="0"/>
        <v>299.33199999999999</v>
      </c>
    </row>
    <row r="13" spans="1:13">
      <c r="A13">
        <f>C4</f>
        <v>4</v>
      </c>
      <c r="B13">
        <f t="shared" si="0"/>
        <v>7</v>
      </c>
      <c r="C13">
        <f t="shared" si="0"/>
        <v>2.121</v>
      </c>
    </row>
    <row r="14" spans="1:13">
      <c r="A14">
        <f>C5</f>
        <v>1</v>
      </c>
      <c r="B14">
        <f t="shared" si="0"/>
        <v>13</v>
      </c>
      <c r="C14">
        <f t="shared" si="0"/>
        <v>0</v>
      </c>
    </row>
    <row r="15" spans="1:13">
      <c r="A15">
        <f>C6</f>
        <v>1</v>
      </c>
      <c r="B15">
        <f t="shared" si="0"/>
        <v>7</v>
      </c>
      <c r="C15">
        <f t="shared" si="0"/>
        <v>0</v>
      </c>
    </row>
    <row r="17" spans="2:2">
      <c r="B17">
        <f>A11*B11</f>
        <v>124577.06700000001</v>
      </c>
    </row>
    <row r="18" spans="2:2">
      <c r="B18">
        <f>A12*B12</f>
        <v>282452.06599999999</v>
      </c>
    </row>
    <row r="19" spans="2:2">
      <c r="B19">
        <f>A13*B13</f>
        <v>28</v>
      </c>
    </row>
    <row r="20" spans="2:2">
      <c r="B20">
        <f>A14*B14</f>
        <v>13</v>
      </c>
    </row>
    <row r="21" spans="2:2">
      <c r="B21">
        <f>A15*B15</f>
        <v>7</v>
      </c>
    </row>
    <row r="22" spans="2:2">
      <c r="B22">
        <f>SUM(B17:B21)</f>
        <v>407077.13300000003</v>
      </c>
    </row>
    <row r="23" spans="2:2">
      <c r="B23">
        <f>SUM(A11:A15)</f>
        <v>500</v>
      </c>
    </row>
    <row r="24" spans="2:2">
      <c r="B24">
        <f>B22/B23</f>
        <v>814.15426600000001</v>
      </c>
    </row>
    <row r="25" spans="2:2">
      <c r="B25">
        <f>ROUND(B24,2)</f>
        <v>814.15</v>
      </c>
    </row>
    <row r="27" spans="2:2">
      <c r="B27">
        <f>POWER(C11,2)</f>
        <v>180793.33920399999</v>
      </c>
    </row>
    <row r="28" spans="2:2">
      <c r="B28">
        <f>POWER(C12,2)</f>
        <v>89599.646223999996</v>
      </c>
    </row>
    <row r="29" spans="2:2">
      <c r="B29">
        <f>POWER(C13,2)</f>
        <v>4.4986410000000001</v>
      </c>
    </row>
    <row r="30" spans="2:2">
      <c r="B30">
        <f>POWER(C14,2)</f>
        <v>0</v>
      </c>
    </row>
    <row r="31" spans="2:2">
      <c r="B31">
        <f>POWER(C15,2)</f>
        <v>0</v>
      </c>
    </row>
    <row r="32" spans="2:2">
      <c r="B32">
        <f>POWER(B11,2)</f>
        <v>463419.20100100001</v>
      </c>
    </row>
    <row r="33" spans="2:2">
      <c r="B33">
        <f>POWER(B12,2)</f>
        <v>824838.13843599998</v>
      </c>
    </row>
    <row r="34" spans="2:2">
      <c r="B34">
        <f>POWER(B13,2)</f>
        <v>49</v>
      </c>
    </row>
    <row r="35" spans="2:2">
      <c r="B35">
        <f>POWER(B14,2)</f>
        <v>169</v>
      </c>
    </row>
    <row r="36" spans="2:2">
      <c r="B36">
        <f>POWER(B15,2)</f>
        <v>49</v>
      </c>
    </row>
    <row r="37" spans="2:2">
      <c r="B37">
        <f>B27+B32</f>
        <v>644212.54020499997</v>
      </c>
    </row>
    <row r="38" spans="2:2">
      <c r="B38">
        <f>B28+B33</f>
        <v>914437.78466</v>
      </c>
    </row>
    <row r="39" spans="2:2">
      <c r="B39">
        <f>B29+B34</f>
        <v>53.498640999999999</v>
      </c>
    </row>
    <row r="40" spans="2:2">
      <c r="B40">
        <f>B30+B35</f>
        <v>169</v>
      </c>
    </row>
    <row r="41" spans="2:2">
      <c r="B41">
        <f>B31+B36</f>
        <v>49</v>
      </c>
    </row>
    <row r="42" spans="2:2">
      <c r="B42">
        <f>A11*B37</f>
        <v>117890894.85751499</v>
      </c>
    </row>
    <row r="43" spans="2:2">
      <c r="B43">
        <f>A12*B38</f>
        <v>284390151.02925998</v>
      </c>
    </row>
    <row r="44" spans="2:2">
      <c r="B44">
        <f>A13*B39</f>
        <v>213.994564</v>
      </c>
    </row>
    <row r="45" spans="2:2">
      <c r="B45">
        <f>A14*B40</f>
        <v>169</v>
      </c>
    </row>
    <row r="46" spans="2:2">
      <c r="B46">
        <f>A15*B41</f>
        <v>49</v>
      </c>
    </row>
    <row r="47" spans="2:2">
      <c r="B47">
        <f>SUM(B42:B46)</f>
        <v>402281477.88133895</v>
      </c>
    </row>
    <row r="48" spans="2:2">
      <c r="B48">
        <f>B47/B23</f>
        <v>804562.95576267794</v>
      </c>
    </row>
    <row r="51" spans="2:2">
      <c r="B51">
        <f>B48-POWER(B24,2)</f>
        <v>141715.78691667912</v>
      </c>
    </row>
    <row r="53" spans="2:2">
      <c r="B53">
        <f>SQRT(LN(1+B51/POWER(B24,2)))</f>
        <v>0.44017583854655856</v>
      </c>
    </row>
    <row r="56" spans="2:2">
      <c r="B56">
        <f>LN(B24)-POWER(B53,2)/2</f>
        <v>6.6052724795970903</v>
      </c>
    </row>
    <row r="59" spans="2:2">
      <c r="B59">
        <f>EXP(B56+1.64485*B53)</f>
        <v>1524.3078354748516</v>
      </c>
    </row>
    <row r="60" spans="2:2">
      <c r="B60">
        <f>ROUND(B59,2)</f>
        <v>1524.31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pub-sub-lock-500-ngrinder-resul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2026-03-29T21:50:13Z</dcterms:created>
  <dcterms:modified xsi:type="dcterms:W3CDTF">2026-03-29T21:51:15Z</dcterms:modified>
</cp:coreProperties>
</file>