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ja/Projects/concurrency-control-benchmarks/docs/result/row-data/5th-test/pub-sub/"/>
    </mc:Choice>
  </mc:AlternateContent>
  <xr:revisionPtr revIDLastSave="0" documentId="13_ncr:9_{E40F839D-894F-874D-B8AF-6033C1BF3A73}" xr6:coauthVersionLast="47" xr6:coauthVersionMax="47" xr10:uidLastSave="{00000000-0000-0000-0000-000000000000}"/>
  <bookViews>
    <workbookView xWindow="14700" yWindow="660" windowWidth="14700" windowHeight="18460" xr2:uid="{DECF82F2-9340-A048-8200-0D018DFEAAAB}"/>
  </bookViews>
  <sheets>
    <sheet name="pub-sub-lock-800-ngrinder-resu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1" l="1"/>
  <c r="B35" i="1"/>
  <c r="B47" i="1" s="1"/>
  <c r="B53" i="1" s="1"/>
  <c r="B34" i="1"/>
  <c r="B32" i="1"/>
  <c r="B31" i="1"/>
  <c r="B43" i="1" s="1"/>
  <c r="B24" i="1"/>
  <c r="B21" i="1"/>
  <c r="B20" i="1"/>
  <c r="C17" i="1"/>
  <c r="B17" i="1"/>
  <c r="A17" i="1"/>
  <c r="C16" i="1"/>
  <c r="B16" i="1"/>
  <c r="B40" i="1" s="1"/>
  <c r="A16" i="1"/>
  <c r="B23" i="1" s="1"/>
  <c r="C15" i="1"/>
  <c r="B33" i="1" s="1"/>
  <c r="B15" i="1"/>
  <c r="B39" i="1" s="1"/>
  <c r="A15" i="1"/>
  <c r="B22" i="1" s="1"/>
  <c r="C14" i="1"/>
  <c r="B14" i="1"/>
  <c r="B38" i="1" s="1"/>
  <c r="A14" i="1"/>
  <c r="C13" i="1"/>
  <c r="B13" i="1"/>
  <c r="B37" i="1" s="1"/>
  <c r="A13" i="1"/>
  <c r="C12" i="1"/>
  <c r="B30" i="1" s="1"/>
  <c r="B12" i="1"/>
  <c r="B36" i="1" s="1"/>
  <c r="A12" i="1"/>
  <c r="B19" i="1" s="1"/>
  <c r="B45" i="1" l="1"/>
  <c r="B51" i="1" s="1"/>
  <c r="B49" i="1"/>
  <c r="B46" i="1"/>
  <c r="B52" i="1" s="1"/>
  <c r="B25" i="1"/>
  <c r="B42" i="1"/>
  <c r="B44" i="1"/>
  <c r="B50" i="1" s="1"/>
  <c r="B48" i="1"/>
  <c r="B26" i="1"/>
  <c r="B54" i="1" l="1"/>
  <c r="B55" i="1" s="1"/>
  <c r="B27" i="1"/>
  <c r="B28" i="1" l="1"/>
  <c r="B58" i="1"/>
  <c r="B60" i="1" s="1"/>
  <c r="B63" i="1" s="1"/>
  <c r="B66" i="1" s="1"/>
  <c r="B67" i="1" s="1"/>
</calcChain>
</file>

<file path=xl/sharedStrings.xml><?xml version="1.0" encoding="utf-8"?>
<sst xmlns="http://schemas.openxmlformats.org/spreadsheetml/2006/main" count="13" uniqueCount="13">
  <si>
    <t>DateTime</t>
  </si>
  <si>
    <t>vuser</t>
  </si>
  <si>
    <t>Tests</t>
  </si>
  <si>
    <t>Errors</t>
  </si>
  <si>
    <t>Mean_Test_Time_(ms)</t>
  </si>
  <si>
    <t>Test_Time_Standard_Deviation_(ms)</t>
  </si>
  <si>
    <t>TPS</t>
  </si>
  <si>
    <t>Mean_response_length</t>
  </si>
  <si>
    <t>Response_bytes_per_second</t>
  </si>
  <si>
    <t>Response_errors</t>
  </si>
  <si>
    <t>Mean_time_to_resolve_host</t>
  </si>
  <si>
    <t>Mean_time_to_establish_connection</t>
  </si>
  <si>
    <t>Mean_time_to_first_byte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</si>
</sst>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/d\ h:mm:s"/>
  </numFmts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0</xdr:rowOff>
    </xdr:from>
    <xdr:ext cx="268407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B6A94B0-1CA8-5246-9C0B-1E89E9CF964E}"/>
                </a:ext>
              </a:extLst>
            </xdr:cNvPr>
            <xdr:cNvSpPr txBox="1"/>
          </xdr:nvSpPr>
          <xdr:spPr>
            <a:xfrm>
              <a:off x="0" y="22860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B6A94B0-1CA8-5246-9C0B-1E89E9CF964E}"/>
                </a:ext>
              </a:extLst>
            </xdr:cNvPr>
            <xdr:cNvSpPr txBox="1"/>
          </xdr:nvSpPr>
          <xdr:spPr>
            <a:xfrm>
              <a:off x="0" y="22860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10</xdr:row>
      <xdr:rowOff>0</xdr:rowOff>
    </xdr:from>
    <xdr:ext cx="279628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B329A3B-E10A-C74D-999C-07817A0A10C3}"/>
                </a:ext>
              </a:extLst>
            </xdr:cNvPr>
            <xdr:cNvSpPr txBox="1"/>
          </xdr:nvSpPr>
          <xdr:spPr>
            <a:xfrm>
              <a:off x="2222500" y="22860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B329A3B-E10A-C74D-999C-07817A0A10C3}"/>
                </a:ext>
              </a:extLst>
            </xdr:cNvPr>
            <xdr:cNvSpPr txBox="1"/>
          </xdr:nvSpPr>
          <xdr:spPr>
            <a:xfrm>
              <a:off x="2222500" y="22860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10</xdr:row>
      <xdr:rowOff>0</xdr:rowOff>
    </xdr:from>
    <xdr:ext cx="185692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6F7E9500-306A-6148-B4DF-37E397A77035}"/>
                </a:ext>
              </a:extLst>
            </xdr:cNvPr>
            <xdr:cNvSpPr txBox="1"/>
          </xdr:nvSpPr>
          <xdr:spPr>
            <a:xfrm>
              <a:off x="3352800" y="22860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6F7E9500-306A-6148-B4DF-37E397A77035}"/>
                </a:ext>
              </a:extLst>
            </xdr:cNvPr>
            <xdr:cNvSpPr txBox="1"/>
          </xdr:nvSpPr>
          <xdr:spPr>
            <a:xfrm>
              <a:off x="3352800" y="22860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18</xdr:row>
      <xdr:rowOff>0</xdr:rowOff>
    </xdr:from>
    <xdr:ext cx="453907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1CD3D9FA-F69E-AB4D-8B41-09C36C212551}"/>
                </a:ext>
              </a:extLst>
            </xdr:cNvPr>
            <xdr:cNvSpPr txBox="1"/>
          </xdr:nvSpPr>
          <xdr:spPr>
            <a:xfrm>
              <a:off x="0" y="41148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1CD3D9FA-F69E-AB4D-8B41-09C36C212551}"/>
                </a:ext>
              </a:extLst>
            </xdr:cNvPr>
            <xdr:cNvSpPr txBox="1"/>
          </xdr:nvSpPr>
          <xdr:spPr>
            <a:xfrm>
              <a:off x="0" y="41148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24</xdr:row>
      <xdr:rowOff>0</xdr:rowOff>
    </xdr:from>
    <xdr:ext cx="1049454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75E0F345-8205-714A-89BE-A184312AE587}"/>
                </a:ext>
              </a:extLst>
            </xdr:cNvPr>
            <xdr:cNvSpPr txBox="1"/>
          </xdr:nvSpPr>
          <xdr:spPr>
            <a:xfrm>
              <a:off x="0" y="54864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75E0F345-8205-714A-89BE-A184312AE587}"/>
                </a:ext>
              </a:extLst>
            </xdr:cNvPr>
            <xdr:cNvSpPr txBox="1"/>
          </xdr:nvSpPr>
          <xdr:spPr>
            <a:xfrm>
              <a:off x="0" y="54864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(𝑛_𝑖⋅𝜇_𝑖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25</xdr:row>
      <xdr:rowOff>0</xdr:rowOff>
    </xdr:from>
    <xdr:ext cx="806503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B21E78F4-8AEF-F440-9A7A-EF79D208470A}"/>
                </a:ext>
              </a:extLst>
            </xdr:cNvPr>
            <xdr:cNvSpPr txBox="1"/>
          </xdr:nvSpPr>
          <xdr:spPr>
            <a:xfrm>
              <a:off x="0" y="57150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B21E78F4-8AEF-F440-9A7A-EF79D208470A}"/>
                </a:ext>
              </a:extLst>
            </xdr:cNvPr>
            <xdr:cNvSpPr txBox="1"/>
          </xdr:nvSpPr>
          <xdr:spPr>
            <a:xfrm>
              <a:off x="0" y="57150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26</xdr:row>
      <xdr:rowOff>0</xdr:rowOff>
    </xdr:from>
    <xdr:ext cx="1303947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EB21E944-903B-F14E-9063-6D22C01F00BB}"/>
                </a:ext>
              </a:extLst>
            </xdr:cNvPr>
            <xdr:cNvSpPr txBox="1"/>
          </xdr:nvSpPr>
          <xdr:spPr>
            <a:xfrm>
              <a:off x="0" y="59436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EB21E944-903B-F14E-9063-6D22C01F00BB}"/>
                </a:ext>
              </a:extLst>
            </xdr:cNvPr>
            <xdr:cNvSpPr txBox="1"/>
          </xdr:nvSpPr>
          <xdr:spPr>
            <a:xfrm>
              <a:off x="0" y="59436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𝜇_𝑡𝑜𝑡𝑎𝑙=(Σ_(𝑖=1)^𝑘 (𝑛_𝑖⋅𝜇_𝑖 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29</xdr:row>
      <xdr:rowOff>0</xdr:rowOff>
    </xdr:from>
    <xdr:ext cx="241300" cy="5270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DBD01815-46EB-8C44-97C0-5CF4BC1CBE9C}"/>
                </a:ext>
              </a:extLst>
            </xdr:cNvPr>
            <xdr:cNvSpPr txBox="1"/>
          </xdr:nvSpPr>
          <xdr:spPr>
            <a:xfrm>
              <a:off x="0" y="66294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DBD01815-46EB-8C44-97C0-5CF4BC1CBE9C}"/>
                </a:ext>
              </a:extLst>
            </xdr:cNvPr>
            <xdr:cNvSpPr txBox="1"/>
          </xdr:nvSpPr>
          <xdr:spPr>
            <a:xfrm>
              <a:off x="0" y="66294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35</xdr:row>
      <xdr:rowOff>0</xdr:rowOff>
    </xdr:from>
    <xdr:ext cx="253787" cy="52732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9124AE62-B544-9245-8403-98D6B34AC603}"/>
                </a:ext>
              </a:extLst>
            </xdr:cNvPr>
            <xdr:cNvSpPr txBox="1"/>
          </xdr:nvSpPr>
          <xdr:spPr>
            <a:xfrm>
              <a:off x="0" y="80010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9124AE62-B544-9245-8403-98D6B34AC603}"/>
                </a:ext>
              </a:extLst>
            </xdr:cNvPr>
            <xdr:cNvSpPr txBox="1"/>
          </xdr:nvSpPr>
          <xdr:spPr>
            <a:xfrm>
              <a:off x="0" y="80010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41</xdr:row>
      <xdr:rowOff>0</xdr:rowOff>
    </xdr:from>
    <xdr:ext cx="1056379" cy="28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B66ABE33-0395-084A-A244-AC9BDE6F81F9}"/>
                </a:ext>
              </a:extLst>
            </xdr:cNvPr>
            <xdr:cNvSpPr txBox="1"/>
          </xdr:nvSpPr>
          <xdr:spPr>
            <a:xfrm>
              <a:off x="0" y="9372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B66ABE33-0395-084A-A244-AC9BDE6F81F9}"/>
                </a:ext>
              </a:extLst>
            </xdr:cNvPr>
            <xdr:cNvSpPr txBox="1"/>
          </xdr:nvSpPr>
          <xdr:spPr>
            <a:xfrm>
              <a:off x="0" y="9372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𝐸[𝑋_𝑖^2 ]=𝜎_𝑖^2+𝜇_𝑖^2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47</xdr:row>
      <xdr:rowOff>0</xdr:rowOff>
    </xdr:from>
    <xdr:ext cx="726930" cy="26488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A99ABEB8-BB1A-9142-A1EA-6DC9424506B5}"/>
                </a:ext>
              </a:extLst>
            </xdr:cNvPr>
            <xdr:cNvSpPr txBox="1"/>
          </xdr:nvSpPr>
          <xdr:spPr>
            <a:xfrm>
              <a:off x="0" y="107442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A99ABEB8-BB1A-9142-A1EA-6DC9424506B5}"/>
                </a:ext>
              </a:extLst>
            </xdr:cNvPr>
            <xdr:cNvSpPr txBox="1"/>
          </xdr:nvSpPr>
          <xdr:spPr>
            <a:xfrm>
              <a:off x="0" y="107442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𝑛_𝑖⋅𝐸[𝑋_𝑖^2 ]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53</xdr:row>
      <xdr:rowOff>0</xdr:rowOff>
    </xdr:from>
    <xdr:ext cx="1014380" cy="244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DA60F87D-CF4A-8247-AD13-56792D9EF60C}"/>
                </a:ext>
              </a:extLst>
            </xdr:cNvPr>
            <xdr:cNvSpPr txBox="1"/>
          </xdr:nvSpPr>
          <xdr:spPr>
            <a:xfrm>
              <a:off x="0" y="121158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e>
                        </m:d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DA60F87D-CF4A-8247-AD13-56792D9EF60C}"/>
                </a:ext>
              </a:extLst>
            </xdr:cNvPr>
            <xdr:cNvSpPr txBox="1"/>
          </xdr:nvSpPr>
          <xdr:spPr>
            <a:xfrm>
              <a:off x="0" y="121158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(𝑛_𝑖⋅𝐸[𝑋_𝑖^2 ])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54</xdr:row>
      <xdr:rowOff>0</xdr:rowOff>
    </xdr:from>
    <xdr:ext cx="1759858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21534F6-D8C9-6D48-AAE0-6459F50D7CD5}"/>
                </a:ext>
              </a:extLst>
            </xdr:cNvPr>
            <xdr:cNvSpPr txBox="1"/>
          </xdr:nvSpPr>
          <xdr:spPr>
            <a:xfrm>
              <a:off x="0" y="123444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  <m:d>
                              <m:dPr>
                                <m:begChr m:val="["/>
                                <m:endChr m:val="]"/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Sup>
                                  <m:sSubSup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  <m:sup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d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21534F6-D8C9-6D48-AAE0-6459F50D7CD5}"/>
                </a:ext>
              </a:extLst>
            </xdr:cNvPr>
            <xdr:cNvSpPr txBox="1"/>
          </xdr:nvSpPr>
          <xdr:spPr>
            <a:xfrm>
              <a:off x="0" y="123444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〖𝐸[𝑋^2 ]〗_𝑡𝑜𝑡𝑎𝑙=(Σ_(𝑖=1)^𝑘 (𝑛_𝑖⋅𝐸[𝑋_𝑖^2 ]))/(Σ_(𝑖=1)^𝑘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57</xdr:row>
      <xdr:rowOff>0</xdr:rowOff>
    </xdr:from>
    <xdr:ext cx="2239972" cy="2485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1F1E0AEE-AAED-144A-998F-6494A5986812}"/>
                </a:ext>
              </a:extLst>
            </xdr:cNvPr>
            <xdr:cNvSpPr txBox="1"/>
          </xdr:nvSpPr>
          <xdr:spPr>
            <a:xfrm>
              <a:off x="0" y="130302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−</m:t>
                    </m:r>
                    <m:sSup>
                      <m:s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1F1E0AEE-AAED-144A-998F-6494A5986812}"/>
                </a:ext>
              </a:extLst>
            </xdr:cNvPr>
            <xdr:cNvSpPr txBox="1"/>
          </xdr:nvSpPr>
          <xdr:spPr>
            <a:xfrm>
              <a:off x="0" y="130302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𝜎_𝑡𝑜𝑡𝑎𝑙^2=𝐸[𝑋^2 ]_𝑡𝑜𝑡𝑎𝑙−(𝜇_𝑡𝑜𝑡𝑎𝑙 )^2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59</xdr:row>
      <xdr:rowOff>0</xdr:rowOff>
    </xdr:from>
    <xdr:ext cx="1559722" cy="5533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5EC7D92B-3F7D-CD4C-B80E-5EAB96755918}"/>
                </a:ext>
              </a:extLst>
            </xdr:cNvPr>
            <xdr:cNvSpPr txBox="1"/>
          </xdr:nvSpPr>
          <xdr:spPr>
            <a:xfrm>
              <a:off x="0" y="134874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m:rPr>
                            <m:sty m:val="p"/>
                          </m:rPr>
                          <a:rPr lang="en-US" altLang="ko-KR" sz="1100" b="0" i="1">
                            <a:latin typeface="Cambria Math" panose="02040503050406030204" pitchFamily="18" charset="0"/>
                          </a:rPr>
                          <m:t>ln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(1+</m:t>
                        </m:r>
                        <m:f>
                          <m:f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𝜇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𝑡𝑜𝑡𝑎𝑙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ra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5EC7D92B-3F7D-CD4C-B80E-5EAB96755918}"/>
                </a:ext>
              </a:extLst>
            </xdr:cNvPr>
            <xdr:cNvSpPr txBox="1"/>
          </xdr:nvSpPr>
          <xdr:spPr>
            <a:xfrm>
              <a:off x="0" y="134874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𝜎_𝑙𝑜𝑔=√(ln(1+(𝜎_𝑡𝑜𝑡𝑎𝑙^2)/〖𝜇_𝑡𝑜𝑡𝑎𝑙〗^2 ))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62</xdr:row>
      <xdr:rowOff>0</xdr:rowOff>
    </xdr:from>
    <xdr:ext cx="1559722" cy="4535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A34602F1-EB49-9D40-928E-F6700A10FDE5}"/>
                </a:ext>
              </a:extLst>
            </xdr:cNvPr>
            <xdr:cNvSpPr txBox="1"/>
          </xdr:nvSpPr>
          <xdr:spPr>
            <a:xfrm>
              <a:off x="0" y="141732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ln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)−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log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A34602F1-EB49-9D40-928E-F6700A10FDE5}"/>
                </a:ext>
              </a:extLst>
            </xdr:cNvPr>
            <xdr:cNvSpPr txBox="1"/>
          </xdr:nvSpPr>
          <xdr:spPr>
            <a:xfrm>
              <a:off x="0" y="141732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𝜇_𝑙𝑜𝑔=ln(𝜇_𝑡𝑜𝑡𝑎𝑙)−(𝜎_log^2)/2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65</xdr:row>
      <xdr:rowOff>0</xdr:rowOff>
    </xdr:from>
    <xdr:ext cx="2071786" cy="182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F36870C2-2E6E-EB4B-887A-A46485D6ECC0}"/>
                </a:ext>
              </a:extLst>
            </xdr:cNvPr>
            <xdr:cNvSpPr txBox="1"/>
          </xdr:nvSpPr>
          <xdr:spPr>
            <a:xfrm>
              <a:off x="0" y="148590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p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95=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exp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+1.64485 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F36870C2-2E6E-EB4B-887A-A46485D6ECC0}"/>
                </a:ext>
              </a:extLst>
            </xdr:cNvPr>
            <xdr:cNvSpPr txBox="1"/>
          </xdr:nvSpPr>
          <xdr:spPr>
            <a:xfrm>
              <a:off x="0" y="148590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p95="exp(" 𝜇_𝑙𝑜𝑔+1.64485 ⋅𝜎_𝑙𝑜𝑔 ")</a:t>
              </a:r>
              <a:r>
                <a:rPr lang="ko-KR" altLang="en-US" sz="1100" b="0" i="0">
                  <a:latin typeface="Cambria Math" panose="02040503050406030204" pitchFamily="18" charset="0"/>
                </a:rPr>
                <a:t>"</a:t>
              </a:r>
              <a:endParaRPr lang="ko-KR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92B0A-837B-784A-9C98-5146EC4FBD97}">
  <dimension ref="A1:M67"/>
  <sheetViews>
    <sheetView tabSelected="1" topLeftCell="A40" workbookViewId="0">
      <selection activeCell="G13" sqref="G13"/>
    </sheetView>
  </sheetViews>
  <sheetFormatPr baseColWidth="10" defaultRowHeight="18"/>
  <cols>
    <col min="1" max="1" width="24.5703125" customWidth="1"/>
    <col min="2" max="2" width="12.7109375" bestFit="1" customWidth="1"/>
    <col min="3" max="3" width="8.7109375" bestFit="1" customWidth="1"/>
    <col min="4" max="4" width="6" bestFit="1" customWidth="1"/>
    <col min="5" max="5" width="18.85546875" bestFit="1" customWidth="1"/>
    <col min="6" max="6" width="30.5703125" bestFit="1" customWidth="1"/>
    <col min="7" max="7" width="6.7109375" bestFit="1" customWidth="1"/>
    <col min="8" max="8" width="19.7109375" bestFit="1" customWidth="1"/>
    <col min="9" max="9" width="23.85546875" bestFit="1" customWidth="1"/>
    <col min="10" max="10" width="14" bestFit="1" customWidth="1"/>
    <col min="11" max="11" width="23.42578125" bestFit="1" customWidth="1"/>
    <col min="12" max="12" width="30.7109375" bestFit="1" customWidth="1"/>
    <col min="13" max="13" width="20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46110.905162037037</v>
      </c>
      <c r="B2">
        <v>700</v>
      </c>
      <c r="C2">
        <v>100</v>
      </c>
      <c r="D2">
        <v>0</v>
      </c>
      <c r="E2">
        <v>819.54</v>
      </c>
      <c r="F2">
        <v>287.06099999999998</v>
      </c>
      <c r="G2">
        <v>50</v>
      </c>
      <c r="H2">
        <v>77</v>
      </c>
      <c r="I2">
        <v>3850</v>
      </c>
      <c r="J2">
        <v>0</v>
      </c>
      <c r="K2">
        <v>0</v>
      </c>
      <c r="L2">
        <v>162.32</v>
      </c>
      <c r="M2">
        <v>288.61</v>
      </c>
    </row>
    <row r="3" spans="1:13">
      <c r="A3" s="1">
        <v>46110.905185185184</v>
      </c>
      <c r="B3">
        <v>602</v>
      </c>
      <c r="C3">
        <v>287</v>
      </c>
      <c r="D3">
        <v>0</v>
      </c>
      <c r="E3">
        <v>1116.7070000000001</v>
      </c>
      <c r="F3">
        <v>328.32400000000001</v>
      </c>
      <c r="G3">
        <v>143.5</v>
      </c>
      <c r="H3">
        <v>134.33799999999999</v>
      </c>
      <c r="I3">
        <v>19277.5</v>
      </c>
      <c r="J3">
        <v>187</v>
      </c>
      <c r="K3">
        <v>0</v>
      </c>
      <c r="L3">
        <v>246.28200000000001</v>
      </c>
      <c r="M3">
        <v>354.74599999999998</v>
      </c>
    </row>
    <row r="4" spans="1:13">
      <c r="A4" s="1">
        <v>46110.90520833333</v>
      </c>
      <c r="B4">
        <v>347</v>
      </c>
      <c r="C4">
        <v>293</v>
      </c>
      <c r="D4">
        <v>0</v>
      </c>
      <c r="E4">
        <v>1017.509</v>
      </c>
      <c r="F4">
        <v>418.05700000000002</v>
      </c>
      <c r="G4">
        <v>146.5</v>
      </c>
      <c r="H4">
        <v>165</v>
      </c>
      <c r="I4">
        <v>24172.5</v>
      </c>
      <c r="J4">
        <v>293</v>
      </c>
      <c r="K4">
        <v>0</v>
      </c>
      <c r="L4">
        <v>263.13</v>
      </c>
      <c r="M4">
        <v>359.84300000000002</v>
      </c>
    </row>
    <row r="5" spans="1:13">
      <c r="A5" s="1">
        <v>46110.905231481483</v>
      </c>
      <c r="B5">
        <v>2</v>
      </c>
      <c r="C5">
        <v>118</v>
      </c>
      <c r="D5">
        <v>0</v>
      </c>
      <c r="E5">
        <v>1572.5170000000001</v>
      </c>
      <c r="F5">
        <v>665.72199999999998</v>
      </c>
      <c r="G5">
        <v>59</v>
      </c>
      <c r="H5">
        <v>165</v>
      </c>
      <c r="I5">
        <v>9735</v>
      </c>
      <c r="J5">
        <v>118</v>
      </c>
      <c r="K5">
        <v>0</v>
      </c>
      <c r="L5">
        <v>469</v>
      </c>
      <c r="M5">
        <v>555.56799999999998</v>
      </c>
    </row>
    <row r="6" spans="1:13">
      <c r="A6" s="1">
        <v>46110.90525462963</v>
      </c>
      <c r="B6">
        <v>1</v>
      </c>
      <c r="C6">
        <v>1</v>
      </c>
      <c r="D6">
        <v>0</v>
      </c>
      <c r="E6">
        <v>9</v>
      </c>
      <c r="F6">
        <v>0</v>
      </c>
      <c r="G6">
        <v>0.5</v>
      </c>
      <c r="H6">
        <v>165</v>
      </c>
      <c r="I6">
        <v>82.5</v>
      </c>
      <c r="J6">
        <v>1</v>
      </c>
      <c r="K6">
        <v>0</v>
      </c>
      <c r="L6">
        <v>2</v>
      </c>
      <c r="M6">
        <v>3</v>
      </c>
    </row>
    <row r="7" spans="1:13">
      <c r="A7" s="1">
        <v>46110.905277777776</v>
      </c>
      <c r="B7">
        <v>0</v>
      </c>
      <c r="C7">
        <v>1</v>
      </c>
      <c r="D7">
        <v>0</v>
      </c>
      <c r="E7">
        <v>11</v>
      </c>
      <c r="F7">
        <v>0</v>
      </c>
      <c r="G7">
        <v>0.5</v>
      </c>
      <c r="H7">
        <v>165</v>
      </c>
      <c r="I7">
        <v>82.5</v>
      </c>
      <c r="J7">
        <v>1</v>
      </c>
      <c r="K7">
        <v>0</v>
      </c>
      <c r="L7">
        <v>3</v>
      </c>
      <c r="M7">
        <v>5</v>
      </c>
    </row>
    <row r="12" spans="1:13">
      <c r="A12">
        <f t="shared" ref="A12:A17" si="0">C2</f>
        <v>100</v>
      </c>
      <c r="B12">
        <f t="shared" ref="B12:C17" si="1">E2</f>
        <v>819.54</v>
      </c>
      <c r="C12">
        <f t="shared" si="1"/>
        <v>287.06099999999998</v>
      </c>
    </row>
    <row r="13" spans="1:13">
      <c r="A13">
        <f t="shared" si="0"/>
        <v>287</v>
      </c>
      <c r="B13">
        <f t="shared" si="1"/>
        <v>1116.7070000000001</v>
      </c>
      <c r="C13">
        <f t="shared" si="1"/>
        <v>328.32400000000001</v>
      </c>
    </row>
    <row r="14" spans="1:13">
      <c r="A14">
        <f t="shared" si="0"/>
        <v>293</v>
      </c>
      <c r="B14">
        <f t="shared" si="1"/>
        <v>1017.509</v>
      </c>
      <c r="C14">
        <f t="shared" si="1"/>
        <v>418.05700000000002</v>
      </c>
    </row>
    <row r="15" spans="1:13">
      <c r="A15">
        <f t="shared" si="0"/>
        <v>118</v>
      </c>
      <c r="B15">
        <f t="shared" si="1"/>
        <v>1572.5170000000001</v>
      </c>
      <c r="C15">
        <f t="shared" si="1"/>
        <v>665.72199999999998</v>
      </c>
    </row>
    <row r="16" spans="1:13">
      <c r="A16">
        <f t="shared" si="0"/>
        <v>1</v>
      </c>
      <c r="B16">
        <f t="shared" si="1"/>
        <v>9</v>
      </c>
      <c r="C16">
        <f t="shared" si="1"/>
        <v>0</v>
      </c>
    </row>
    <row r="17" spans="1:3">
      <c r="A17">
        <f t="shared" si="0"/>
        <v>1</v>
      </c>
      <c r="B17">
        <f t="shared" si="1"/>
        <v>11</v>
      </c>
      <c r="C17">
        <f t="shared" si="1"/>
        <v>0</v>
      </c>
    </row>
    <row r="19" spans="1:3">
      <c r="B19">
        <f t="shared" ref="B19:B24" si="2">A12*B12</f>
        <v>81954</v>
      </c>
    </row>
    <row r="20" spans="1:3">
      <c r="B20">
        <f t="shared" si="2"/>
        <v>320494.90900000004</v>
      </c>
    </row>
    <row r="21" spans="1:3">
      <c r="B21">
        <f t="shared" si="2"/>
        <v>298130.13699999999</v>
      </c>
    </row>
    <row r="22" spans="1:3">
      <c r="B22">
        <f t="shared" si="2"/>
        <v>185557.00599999999</v>
      </c>
    </row>
    <row r="23" spans="1:3">
      <c r="B23">
        <f t="shared" si="2"/>
        <v>9</v>
      </c>
    </row>
    <row r="24" spans="1:3">
      <c r="B24">
        <f t="shared" si="2"/>
        <v>11</v>
      </c>
    </row>
    <row r="25" spans="1:3">
      <c r="B25">
        <f>SUM(B19:B24)</f>
        <v>886156.05200000014</v>
      </c>
    </row>
    <row r="26" spans="1:3">
      <c r="B26">
        <f>SUM(A12:A17)</f>
        <v>800</v>
      </c>
    </row>
    <row r="27" spans="1:3">
      <c r="B27">
        <f>B25/B26</f>
        <v>1107.6950650000001</v>
      </c>
    </row>
    <row r="28" spans="1:3">
      <c r="B28">
        <f>ROUND(B27,2)</f>
        <v>1107.7</v>
      </c>
    </row>
    <row r="30" spans="1:3">
      <c r="B30">
        <f t="shared" ref="B30:B35" si="3">POWER(C12,2)</f>
        <v>82404.017720999982</v>
      </c>
    </row>
    <row r="31" spans="1:3">
      <c r="B31">
        <f t="shared" si="3"/>
        <v>107796.64897600001</v>
      </c>
    </row>
    <row r="32" spans="1:3">
      <c r="B32">
        <f t="shared" si="3"/>
        <v>174771.655249</v>
      </c>
    </row>
    <row r="33" spans="2:2">
      <c r="B33">
        <f t="shared" si="3"/>
        <v>443185.78128399997</v>
      </c>
    </row>
    <row r="34" spans="2:2">
      <c r="B34">
        <f t="shared" si="3"/>
        <v>0</v>
      </c>
    </row>
    <row r="35" spans="2:2">
      <c r="B35">
        <f t="shared" si="3"/>
        <v>0</v>
      </c>
    </row>
    <row r="36" spans="2:2">
      <c r="B36">
        <f t="shared" ref="B36:B41" si="4">POWER(B12,2)</f>
        <v>671645.8115999999</v>
      </c>
    </row>
    <row r="37" spans="2:2">
      <c r="B37">
        <f t="shared" si="4"/>
        <v>1247034.5238490002</v>
      </c>
    </row>
    <row r="38" spans="2:2">
      <c r="B38">
        <f t="shared" si="4"/>
        <v>1035324.565081</v>
      </c>
    </row>
    <row r="39" spans="2:2">
      <c r="B39">
        <f t="shared" si="4"/>
        <v>2472809.715289</v>
      </c>
    </row>
    <row r="40" spans="2:2">
      <c r="B40">
        <f t="shared" si="4"/>
        <v>81</v>
      </c>
    </row>
    <row r="41" spans="2:2">
      <c r="B41">
        <f t="shared" si="4"/>
        <v>121</v>
      </c>
    </row>
    <row r="42" spans="2:2">
      <c r="B42">
        <f t="shared" ref="B42:B47" si="5">B30+B36</f>
        <v>754049.82932099991</v>
      </c>
    </row>
    <row r="43" spans="2:2">
      <c r="B43">
        <f t="shared" si="5"/>
        <v>1354831.1728250002</v>
      </c>
    </row>
    <row r="44" spans="2:2">
      <c r="B44">
        <f t="shared" si="5"/>
        <v>1210096.2203299999</v>
      </c>
    </row>
    <row r="45" spans="2:2">
      <c r="B45">
        <f t="shared" si="5"/>
        <v>2915995.4965729997</v>
      </c>
    </row>
    <row r="46" spans="2:2">
      <c r="B46">
        <f t="shared" si="5"/>
        <v>81</v>
      </c>
    </row>
    <row r="47" spans="2:2">
      <c r="B47">
        <f t="shared" si="5"/>
        <v>121</v>
      </c>
    </row>
    <row r="48" spans="2:2">
      <c r="B48">
        <f t="shared" ref="B48:B53" si="6">A12*B42</f>
        <v>75404982.932099998</v>
      </c>
    </row>
    <row r="49" spans="2:2">
      <c r="B49">
        <f t="shared" si="6"/>
        <v>388836546.60077506</v>
      </c>
    </row>
    <row r="50" spans="2:2">
      <c r="B50">
        <f t="shared" si="6"/>
        <v>354558192.55668998</v>
      </c>
    </row>
    <row r="51" spans="2:2">
      <c r="B51">
        <f t="shared" si="6"/>
        <v>344087468.59561396</v>
      </c>
    </row>
    <row r="52" spans="2:2">
      <c r="B52">
        <f t="shared" si="6"/>
        <v>81</v>
      </c>
    </row>
    <row r="53" spans="2:2">
      <c r="B53">
        <f t="shared" si="6"/>
        <v>121</v>
      </c>
    </row>
    <row r="54" spans="2:2">
      <c r="B54">
        <f>SUM(B48:B53)</f>
        <v>1162887392.685179</v>
      </c>
    </row>
    <row r="55" spans="2:2">
      <c r="B55">
        <f>B54/B26</f>
        <v>1453609.2408564738</v>
      </c>
    </row>
    <row r="58" spans="2:2">
      <c r="B58">
        <f>B55-POWER(B27,2)</f>
        <v>226620.8838311194</v>
      </c>
    </row>
    <row r="60" spans="2:2">
      <c r="B60">
        <f>SQRT(LN(1+B58/POWER(B27,2)))</f>
        <v>0.41168788978275062</v>
      </c>
    </row>
    <row r="63" spans="2:2">
      <c r="B63">
        <f>LN(B27)-POWER(B60,2)/2</f>
        <v>6.9252931580386807</v>
      </c>
    </row>
    <row r="66" spans="2:2">
      <c r="B66">
        <f>EXP(B63+1.64485*B60)</f>
        <v>2003.1134689215423</v>
      </c>
    </row>
    <row r="67" spans="2:2">
      <c r="B67">
        <f>ROUND(B66,2)</f>
        <v>2003.11</v>
      </c>
    </row>
  </sheetData>
  <phoneticPr fontId="1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pub-sub-lock-800-ngrinder-resul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함상현</dc:creator>
  <cp:lastModifiedBy>함상현</cp:lastModifiedBy>
  <dcterms:created xsi:type="dcterms:W3CDTF">2026-03-29T21:51:27Z</dcterms:created>
  <dcterms:modified xsi:type="dcterms:W3CDTF">2026-03-29T21:52:22Z</dcterms:modified>
</cp:coreProperties>
</file>