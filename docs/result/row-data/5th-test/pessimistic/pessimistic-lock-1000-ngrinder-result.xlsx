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pessimistic/"/>
    </mc:Choice>
  </mc:AlternateContent>
  <xr:revisionPtr revIDLastSave="0" documentId="13_ncr:1_{1ADE290D-72C6-7742-850B-5E37DB4F1F0E}" xr6:coauthVersionLast="47" xr6:coauthVersionMax="47" xr10:uidLastSave="{00000000-0000-0000-0000-000000000000}"/>
  <bookViews>
    <workbookView xWindow="14700" yWindow="660" windowWidth="14700" windowHeight="18460" xr2:uid="{9DD2EB68-F6E7-2A4F-9534-BC2AF9D72E44}"/>
  </bookViews>
  <sheets>
    <sheet name="pessimistic-lock-1000-ngrinder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8" i="1"/>
  <c r="B35" i="1"/>
  <c r="B47" i="1" s="1"/>
  <c r="B53" i="1" s="1"/>
  <c r="B34" i="1"/>
  <c r="B32" i="1"/>
  <c r="B44" i="1" s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A14" i="1"/>
  <c r="C13" i="1"/>
  <c r="B13" i="1"/>
  <c r="B37" i="1" s="1"/>
  <c r="A13" i="1"/>
  <c r="C12" i="1"/>
  <c r="B30" i="1" s="1"/>
  <c r="B42" i="1" s="1"/>
  <c r="B12" i="1"/>
  <c r="B36" i="1" s="1"/>
  <c r="A12" i="1"/>
  <c r="B19" i="1" s="1"/>
  <c r="B45" i="1" l="1"/>
  <c r="B25" i="1"/>
  <c r="B49" i="1"/>
  <c r="B46" i="1"/>
  <c r="B52" i="1" s="1"/>
  <c r="B50" i="1"/>
  <c r="B51" i="1"/>
  <c r="B26" i="1"/>
  <c r="B48" i="1"/>
  <c r="B54" i="1" s="1"/>
  <c r="B55" i="1" l="1"/>
  <c r="B27" i="1"/>
  <c r="B28" i="1" l="1"/>
  <c r="B58" i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<sst xmlns="http://schemas.openxmlformats.org/spreadsheetml/2006/main" count="13" uniqueCount="13">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</sst>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CF7165D-B875-F849-8582-1CD8910AB132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CF7165D-B875-F849-8582-1CD8910AB132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9D8AB3A-3CEF-6144-AE90-64921EED402B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9D8AB3A-3CEF-6144-AE90-64921EED402B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8C92692-F758-0B4D-B4EF-0E6D8CF5AD80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8C92692-F758-0B4D-B4EF-0E6D8CF5AD80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EC5B690-28F4-5742-89ED-AA5D2C260641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EC5B690-28F4-5742-89ED-AA5D2C260641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E002BF0-50EC-6045-9F7C-F1DB6118A07F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E002BF0-50EC-6045-9F7C-F1DB6118A07F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A3CF079-7729-184D-A959-D1CDA307F0B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A3CF079-7729-184D-A959-D1CDA307F0B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1D05940-9C7E-3145-AFB5-81221DF5011F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1D05940-9C7E-3145-AFB5-81221DF5011F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524C5EC-1479-EB4D-8C8D-427A54A5D54D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524C5EC-1479-EB4D-8C8D-427A54A5D54D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F865FF3-47B4-E04A-9299-E71533618DC9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F865FF3-47B4-E04A-9299-E71533618DC9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C91AE1D-3169-3E48-98C7-D7CAF7909E1E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C91AE1D-3169-3E48-98C7-D7CAF7909E1E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AAF96E9-0BE9-6F47-BC24-C5123B008624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AAF96E9-0BE9-6F47-BC24-C5123B008624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25828FC-C174-6A42-93F7-E609FF9F73E6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25828FC-C174-6A42-93F7-E609FF9F73E6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32D329F-DDF7-154B-860D-15071214D103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32D329F-DDF7-154B-860D-15071214D103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62987D6-4F89-B140-9A0B-F7FF2AB8EABB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62987D6-4F89-B140-9A0B-F7FF2AB8EABB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8320948-AED4-0A43-86A6-91483BD551A0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8320948-AED4-0A43-86A6-91483BD551A0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3A6E8B12-FE07-9947-A96C-BBF36A2DE3A8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3A6E8B12-FE07-9947-A96C-BBF36A2DE3A8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815DDA4-ABB3-1442-A251-80D3E55A3BAF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815DDA4-ABB3-1442-A251-80D3E55A3BAF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62CE-B4B5-5243-A1F1-17A0A150DF53}">
  <dimension ref="A1:M67"/>
  <sheetViews>
    <sheetView tabSelected="1" workbookViewId="0">
      <selection activeCell="E19" sqref="E19"/>
    </sheetView>
  </sheetViews>
  <sheetFormatPr baseColWidth="10" defaultRowHeight="18"/>
  <cols>
    <col min="1" max="1" width="24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46110.870451388888</v>
      </c>
      <c r="B2">
        <v>818</v>
      </c>
      <c r="C2">
        <v>289</v>
      </c>
      <c r="D2">
        <v>0</v>
      </c>
      <c r="E2">
        <v>795.38099999999997</v>
      </c>
      <c r="F2">
        <v>344.17</v>
      </c>
      <c r="G2">
        <v>144.5</v>
      </c>
      <c r="H2">
        <v>110.35599999999999</v>
      </c>
      <c r="I2">
        <v>15946.5</v>
      </c>
      <c r="J2">
        <v>101</v>
      </c>
      <c r="K2">
        <v>0</v>
      </c>
      <c r="L2">
        <v>277.34300000000002</v>
      </c>
      <c r="M2">
        <v>364.48099999999999</v>
      </c>
    </row>
    <row r="3" spans="1:13">
      <c r="A3" s="1">
        <v>46110.870474537034</v>
      </c>
      <c r="B3">
        <v>419</v>
      </c>
      <c r="C3">
        <v>292</v>
      </c>
      <c r="D3">
        <v>0</v>
      </c>
      <c r="E3">
        <v>918.346</v>
      </c>
      <c r="F3">
        <v>666.83299999999997</v>
      </c>
      <c r="G3">
        <v>146</v>
      </c>
      <c r="H3">
        <v>161.548</v>
      </c>
      <c r="I3">
        <v>23586</v>
      </c>
      <c r="J3">
        <v>280</v>
      </c>
      <c r="K3">
        <v>0</v>
      </c>
      <c r="L3">
        <v>307.86</v>
      </c>
      <c r="M3">
        <v>398.13400000000001</v>
      </c>
    </row>
    <row r="4" spans="1:13">
      <c r="A4" s="1">
        <v>46110.870497685188</v>
      </c>
      <c r="B4">
        <v>144</v>
      </c>
      <c r="C4">
        <v>275</v>
      </c>
      <c r="D4">
        <v>0</v>
      </c>
      <c r="E4">
        <v>729.08</v>
      </c>
      <c r="F4">
        <v>327.01299999999998</v>
      </c>
      <c r="G4">
        <v>137.5</v>
      </c>
      <c r="H4">
        <v>165</v>
      </c>
      <c r="I4">
        <v>22687.5</v>
      </c>
      <c r="J4">
        <v>275</v>
      </c>
      <c r="K4">
        <v>0</v>
      </c>
      <c r="L4">
        <v>206.05099999999999</v>
      </c>
      <c r="M4">
        <v>267.83999999999997</v>
      </c>
    </row>
    <row r="5" spans="1:13">
      <c r="A5" s="1">
        <v>46110.870520833334</v>
      </c>
      <c r="B5">
        <v>7</v>
      </c>
      <c r="C5">
        <v>137</v>
      </c>
      <c r="D5">
        <v>0</v>
      </c>
      <c r="E5">
        <v>484.65</v>
      </c>
      <c r="F5">
        <v>342.80599999999998</v>
      </c>
      <c r="G5">
        <v>68.5</v>
      </c>
      <c r="H5">
        <v>165</v>
      </c>
      <c r="I5">
        <v>11302.5</v>
      </c>
      <c r="J5">
        <v>137</v>
      </c>
      <c r="K5">
        <v>0</v>
      </c>
      <c r="L5">
        <v>119.84699999999999</v>
      </c>
      <c r="M5">
        <v>168.62</v>
      </c>
    </row>
    <row r="6" spans="1:13">
      <c r="A6" s="1">
        <v>46110.87054398148</v>
      </c>
      <c r="B6">
        <v>2</v>
      </c>
      <c r="C6">
        <v>5</v>
      </c>
      <c r="D6">
        <v>0</v>
      </c>
      <c r="E6">
        <v>8.4</v>
      </c>
      <c r="F6">
        <v>1.855</v>
      </c>
      <c r="G6">
        <v>2.5</v>
      </c>
      <c r="H6">
        <v>165</v>
      </c>
      <c r="I6">
        <v>412.5</v>
      </c>
      <c r="J6">
        <v>5</v>
      </c>
      <c r="K6">
        <v>0</v>
      </c>
      <c r="L6">
        <v>2.4</v>
      </c>
      <c r="M6">
        <v>3.4</v>
      </c>
    </row>
    <row r="7" spans="1:13">
      <c r="A7" s="1">
        <v>46110.870567129627</v>
      </c>
      <c r="B7">
        <v>0</v>
      </c>
      <c r="C7">
        <v>2</v>
      </c>
      <c r="D7">
        <v>0</v>
      </c>
      <c r="E7">
        <v>8.5</v>
      </c>
      <c r="F7">
        <v>1.5</v>
      </c>
      <c r="G7">
        <v>1</v>
      </c>
      <c r="H7">
        <v>165</v>
      </c>
      <c r="I7">
        <v>165</v>
      </c>
      <c r="J7">
        <v>2</v>
      </c>
      <c r="K7">
        <v>0</v>
      </c>
      <c r="L7">
        <v>3</v>
      </c>
      <c r="M7">
        <v>3.5</v>
      </c>
    </row>
    <row r="12" spans="1:13">
      <c r="A12">
        <f t="shared" ref="A12:A17" si="0">C2</f>
        <v>289</v>
      </c>
      <c r="B12">
        <f t="shared" ref="B12:C17" si="1">E2</f>
        <v>795.38099999999997</v>
      </c>
      <c r="C12">
        <f t="shared" si="1"/>
        <v>344.17</v>
      </c>
    </row>
    <row r="13" spans="1:13">
      <c r="A13">
        <f t="shared" si="0"/>
        <v>292</v>
      </c>
      <c r="B13">
        <f t="shared" si="1"/>
        <v>918.346</v>
      </c>
      <c r="C13">
        <f t="shared" si="1"/>
        <v>666.83299999999997</v>
      </c>
    </row>
    <row r="14" spans="1:13">
      <c r="A14">
        <f t="shared" si="0"/>
        <v>275</v>
      </c>
      <c r="B14">
        <f t="shared" si="1"/>
        <v>729.08</v>
      </c>
      <c r="C14">
        <f t="shared" si="1"/>
        <v>327.01299999999998</v>
      </c>
    </row>
    <row r="15" spans="1:13">
      <c r="A15">
        <f t="shared" si="0"/>
        <v>137</v>
      </c>
      <c r="B15">
        <f t="shared" si="1"/>
        <v>484.65</v>
      </c>
      <c r="C15">
        <f t="shared" si="1"/>
        <v>342.80599999999998</v>
      </c>
    </row>
    <row r="16" spans="1:13">
      <c r="A16">
        <f t="shared" si="0"/>
        <v>5</v>
      </c>
      <c r="B16">
        <f t="shared" si="1"/>
        <v>8.4</v>
      </c>
      <c r="C16">
        <f t="shared" si="1"/>
        <v>1.855</v>
      </c>
    </row>
    <row r="17" spans="1:3">
      <c r="A17">
        <f t="shared" si="0"/>
        <v>2</v>
      </c>
      <c r="B17">
        <f t="shared" si="1"/>
        <v>8.5</v>
      </c>
      <c r="C17">
        <f t="shared" si="1"/>
        <v>1.5</v>
      </c>
    </row>
    <row r="19" spans="1:3">
      <c r="B19">
        <f t="shared" ref="B19:B24" si="2">A12*B12</f>
        <v>229865.109</v>
      </c>
    </row>
    <row r="20" spans="1:3">
      <c r="B20">
        <f t="shared" si="2"/>
        <v>268157.03200000001</v>
      </c>
    </row>
    <row r="21" spans="1:3">
      <c r="B21">
        <f t="shared" si="2"/>
        <v>200497</v>
      </c>
    </row>
    <row r="22" spans="1:3">
      <c r="B22">
        <f t="shared" si="2"/>
        <v>66397.05</v>
      </c>
    </row>
    <row r="23" spans="1:3">
      <c r="B23">
        <f t="shared" si="2"/>
        <v>42</v>
      </c>
    </row>
    <row r="24" spans="1:3">
      <c r="B24">
        <f t="shared" si="2"/>
        <v>17</v>
      </c>
    </row>
    <row r="25" spans="1:3">
      <c r="B25">
        <f>SUM(B19:B24)</f>
        <v>764975.19100000011</v>
      </c>
    </row>
    <row r="26" spans="1:3">
      <c r="B26">
        <f>SUM(A12:A17)</f>
        <v>1000</v>
      </c>
    </row>
    <row r="27" spans="1:3">
      <c r="B27">
        <f>B25/B26</f>
        <v>764.97519100000011</v>
      </c>
    </row>
    <row r="28" spans="1:3">
      <c r="B28">
        <f>ROUND(B27,2)</f>
        <v>764.98</v>
      </c>
    </row>
    <row r="30" spans="1:3">
      <c r="B30">
        <f t="shared" ref="B30:B35" si="3">POWER(C12,2)</f>
        <v>118452.98890000001</v>
      </c>
    </row>
    <row r="31" spans="1:3">
      <c r="B31">
        <f t="shared" si="3"/>
        <v>444666.24988899997</v>
      </c>
    </row>
    <row r="32" spans="1:3">
      <c r="B32">
        <f t="shared" si="3"/>
        <v>106937.50216899998</v>
      </c>
    </row>
    <row r="33" spans="2:2">
      <c r="B33">
        <f t="shared" si="3"/>
        <v>117515.95363599999</v>
      </c>
    </row>
    <row r="34" spans="2:2">
      <c r="B34">
        <f t="shared" si="3"/>
        <v>3.4410249999999998</v>
      </c>
    </row>
    <row r="35" spans="2:2">
      <c r="B35">
        <f t="shared" si="3"/>
        <v>2.25</v>
      </c>
    </row>
    <row r="36" spans="2:2">
      <c r="B36">
        <f t="shared" ref="B36:B41" si="4">POWER(B12,2)</f>
        <v>632630.935161</v>
      </c>
    </row>
    <row r="37" spans="2:2">
      <c r="B37">
        <f t="shared" si="4"/>
        <v>843359.37571599998</v>
      </c>
    </row>
    <row r="38" spans="2:2">
      <c r="B38">
        <f t="shared" si="4"/>
        <v>531557.64640000009</v>
      </c>
    </row>
    <row r="39" spans="2:2">
      <c r="B39">
        <f t="shared" si="4"/>
        <v>234885.62249999997</v>
      </c>
    </row>
    <row r="40" spans="2:2">
      <c r="B40">
        <f t="shared" si="4"/>
        <v>70.56</v>
      </c>
    </row>
    <row r="41" spans="2:2">
      <c r="B41">
        <f t="shared" si="4"/>
        <v>72.25</v>
      </c>
    </row>
    <row r="42" spans="2:2">
      <c r="B42">
        <f t="shared" ref="B42:B47" si="5">B30+B36</f>
        <v>751083.924061</v>
      </c>
    </row>
    <row r="43" spans="2:2">
      <c r="B43">
        <f t="shared" si="5"/>
        <v>1288025.625605</v>
      </c>
    </row>
    <row r="44" spans="2:2">
      <c r="B44">
        <f t="shared" si="5"/>
        <v>638495.14856900007</v>
      </c>
    </row>
    <row r="45" spans="2:2">
      <c r="B45">
        <f t="shared" si="5"/>
        <v>352401.57613599999</v>
      </c>
    </row>
    <row r="46" spans="2:2">
      <c r="B46">
        <f t="shared" si="5"/>
        <v>74.001024999999998</v>
      </c>
    </row>
    <row r="47" spans="2:2">
      <c r="B47">
        <f t="shared" si="5"/>
        <v>74.5</v>
      </c>
    </row>
    <row r="48" spans="2:2">
      <c r="B48">
        <f t="shared" ref="B48:B53" si="6">A12*B42</f>
        <v>217063254.05362901</v>
      </c>
    </row>
    <row r="49" spans="2:2">
      <c r="B49">
        <f t="shared" si="6"/>
        <v>376103482.67666</v>
      </c>
    </row>
    <row r="50" spans="2:2">
      <c r="B50">
        <f t="shared" si="6"/>
        <v>175586165.85647503</v>
      </c>
    </row>
    <row r="51" spans="2:2">
      <c r="B51">
        <f t="shared" si="6"/>
        <v>48279015.930631995</v>
      </c>
    </row>
    <row r="52" spans="2:2">
      <c r="B52">
        <f t="shared" si="6"/>
        <v>370.00512500000002</v>
      </c>
    </row>
    <row r="53" spans="2:2">
      <c r="B53">
        <f t="shared" si="6"/>
        <v>149</v>
      </c>
    </row>
    <row r="54" spans="2:2">
      <c r="B54">
        <f>SUM(B48:B53)</f>
        <v>817032437.52252102</v>
      </c>
    </row>
    <row r="55" spans="2:2">
      <c r="B55">
        <f>B54/B26</f>
        <v>817032.43752252101</v>
      </c>
    </row>
    <row r="58" spans="2:2">
      <c r="B58">
        <f>B55-POWER(B27,2)</f>
        <v>231845.39467703435</v>
      </c>
    </row>
    <row r="60" spans="2:2">
      <c r="B60">
        <f>SQRT(LN(1+B58/POWER(B27,2)))</f>
        <v>0.57770863745776491</v>
      </c>
    </row>
    <row r="63" spans="2:2">
      <c r="B63">
        <f>LN(B27)-POWER(B60,2)/2</f>
        <v>6.4729697683386576</v>
      </c>
    </row>
    <row r="66" spans="2:2">
      <c r="B66">
        <f>EXP(B63+1.64485*B60)</f>
        <v>1674.4061107829643</v>
      </c>
    </row>
    <row r="67" spans="2:2">
      <c r="B67">
        <f>ROUND(B66,2)</f>
        <v>1674.41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pessimistic-lock-1000-ngrinder-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2026-03-29T20:13:25Z</dcterms:created>
  <dcterms:modified xsi:type="dcterms:W3CDTF">2026-03-29T21:05:31Z</dcterms:modified>
</cp:coreProperties>
</file>