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pessimistic/"/>
    </mc:Choice>
  </mc:AlternateContent>
  <xr:revisionPtr revIDLastSave="0" documentId="13_ncr:1_{F10AF02C-140A-7C4F-986F-ED04F25DC2DE}" xr6:coauthVersionLast="47" xr6:coauthVersionMax="47" xr10:uidLastSave="{00000000-0000-0000-0000-000000000000}"/>
  <bookViews>
    <workbookView xWindow="0" yWindow="660" windowWidth="14700" windowHeight="18460" xr2:uid="{2D16F0CF-CCD2-EB46-AD4D-4A3662554ED7}"/>
  </bookViews>
  <sheets>
    <sheet name="pessimistic-lock-5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32" i="1" s="1"/>
  <c r="B27" i="1"/>
  <c r="B35" i="1" s="1"/>
  <c r="B39" i="1" s="1"/>
  <c r="B24" i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C10" i="1"/>
  <c r="B10" i="1"/>
  <c r="A10" i="1"/>
  <c r="B36" i="1" s="1"/>
  <c r="B33" i="1" l="1"/>
  <c r="B37" i="1" s="1"/>
  <c r="B40" i="1" s="1"/>
  <c r="B41" i="1" s="1"/>
  <c r="B20" i="1"/>
  <c r="B16" i="1"/>
  <c r="B15" i="1"/>
  <c r="B19" i="1" s="1"/>
  <c r="B21" i="1" l="1"/>
  <c r="B22" i="1" l="1"/>
  <c r="B44" i="1"/>
  <c r="B46" i="1" s="1"/>
  <c r="B49" i="1" s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<sst xmlns="http://schemas.openxmlformats.org/spreadsheetml/2006/main" count="13" uniqueCount="13">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</sst>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0B0665C-4EF4-B846-9A3D-805048E6AA66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0B0665C-4EF4-B846-9A3D-805048E6AA66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F610CB1-24D3-FF4D-90B0-775B3000ED7E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F610CB1-24D3-FF4D-90B0-775B3000ED7E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F5DFED7-5075-CC4B-AE39-328BCA74A9E7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F5DFED7-5075-CC4B-AE39-328BCA74A9E7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004B48-E7C9-6C4A-AF50-BE2680509D84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004B48-E7C9-6C4A-AF50-BE2680509D84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B2DB587-81B9-8D4C-9AF8-7E2649260297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B2DB587-81B9-8D4C-9AF8-7E2649260297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4D23340-D17D-4C4E-8AD1-9C4085B694B2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4D23340-D17D-4C4E-8AD1-9C4085B694B2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FE78CA0-9AC8-E044-B527-A82FE359A280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FE78CA0-9AC8-E044-B527-A82FE359A280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5FBD97-17EA-5447-BF6B-0366C767D16D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5FBD97-17EA-5447-BF6B-0366C767D16D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7978857-3D82-7D4F-9D2C-E92B72CBB2B7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7978857-3D82-7D4F-9D2C-E92B72CBB2B7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F68E336-743D-EC44-8C4A-CC8965843D07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F68E336-743D-EC44-8C4A-CC8965843D07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466BC85-A39B-A744-BC9F-CD22D6EA9F01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466BC85-A39B-A744-BC9F-CD22D6EA9F01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BB68EFB-CAB2-244C-862C-2EB5F08D3350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BB68EFB-CAB2-244C-862C-2EB5F08D3350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1A6CF7-D857-BE4C-8091-EA3DE5307547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1A6CF7-D857-BE4C-8091-EA3DE5307547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62D6078-E585-2545-A5B4-42EECB3E5E70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62D6078-E585-2545-A5B4-42EECB3E5E70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FD90F36-C847-324E-B79D-B744137F684F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FD90F36-C847-324E-B79D-B744137F684F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1E7D4B5-1F87-F343-8C0C-6DAAB3545FA0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1E7D4B5-1F87-F343-8C0C-6DAAB3545FA0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107D74C-F0FD-A843-B3CA-C666700F7760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107D74C-F0FD-A843-B3CA-C666700F7760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01DB-54EC-5344-AA34-9FB712C715D2}">
  <dimension ref="A1:M53"/>
  <sheetViews>
    <sheetView tabSelected="1" workbookViewId="0">
      <selection activeCell="E18" sqref="E18"/>
    </sheetView>
  </sheetViews>
  <sheetFormatPr baseColWidth="10" defaultRowHeight="18"/>
  <cols>
    <col min="1" max="1" width="24.140625" customWidth="1"/>
    <col min="2" max="2" width="11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46110.856504629628</v>
      </c>
      <c r="B2">
        <v>408</v>
      </c>
      <c r="C2">
        <v>97</v>
      </c>
      <c r="D2">
        <v>0</v>
      </c>
      <c r="E2">
        <v>90.01</v>
      </c>
      <c r="F2">
        <v>100.967</v>
      </c>
      <c r="G2">
        <v>48.5</v>
      </c>
      <c r="H2">
        <v>81</v>
      </c>
      <c r="I2">
        <v>3928.5</v>
      </c>
      <c r="J2">
        <v>0</v>
      </c>
      <c r="K2">
        <v>0</v>
      </c>
      <c r="L2">
        <v>29.103000000000002</v>
      </c>
      <c r="M2">
        <v>51.164999999999999</v>
      </c>
    </row>
    <row r="3" spans="1:13">
      <c r="A3" s="1">
        <v>46110.856527777774</v>
      </c>
      <c r="B3">
        <v>400</v>
      </c>
      <c r="C3">
        <v>52</v>
      </c>
      <c r="D3">
        <v>0</v>
      </c>
      <c r="E3">
        <v>689.673</v>
      </c>
      <c r="F3">
        <v>214.08</v>
      </c>
      <c r="G3">
        <v>26</v>
      </c>
      <c r="H3">
        <v>148.846</v>
      </c>
      <c r="I3">
        <v>3870</v>
      </c>
      <c r="J3">
        <v>42</v>
      </c>
      <c r="K3">
        <v>0</v>
      </c>
      <c r="L3">
        <v>205.63499999999999</v>
      </c>
      <c r="M3">
        <v>263.596</v>
      </c>
    </row>
    <row r="4" spans="1:13">
      <c r="A4" s="1">
        <v>46110.856550925928</v>
      </c>
      <c r="B4">
        <v>111</v>
      </c>
      <c r="C4">
        <v>341</v>
      </c>
      <c r="D4">
        <v>0</v>
      </c>
      <c r="E4">
        <v>943.18200000000002</v>
      </c>
      <c r="F4">
        <v>421.66199999999998</v>
      </c>
      <c r="G4">
        <v>170.5</v>
      </c>
      <c r="H4">
        <v>142.09100000000001</v>
      </c>
      <c r="I4">
        <v>24226.5</v>
      </c>
      <c r="J4">
        <v>248</v>
      </c>
      <c r="K4">
        <v>0</v>
      </c>
      <c r="L4">
        <v>234.10599999999999</v>
      </c>
      <c r="M4">
        <v>313.11399999999998</v>
      </c>
    </row>
    <row r="5" spans="1:13">
      <c r="A5" s="1">
        <v>46110.856574074074</v>
      </c>
      <c r="B5">
        <v>0</v>
      </c>
      <c r="C5">
        <v>10</v>
      </c>
      <c r="D5">
        <v>0</v>
      </c>
      <c r="E5">
        <v>8.6</v>
      </c>
      <c r="F5">
        <v>2.8</v>
      </c>
      <c r="G5">
        <v>5</v>
      </c>
      <c r="H5">
        <v>165</v>
      </c>
      <c r="I5">
        <v>825</v>
      </c>
      <c r="J5">
        <v>10</v>
      </c>
      <c r="K5">
        <v>0</v>
      </c>
      <c r="L5">
        <v>3</v>
      </c>
      <c r="M5">
        <v>4.2</v>
      </c>
    </row>
    <row r="10" spans="1:13">
      <c r="A10">
        <f>C2</f>
        <v>97</v>
      </c>
      <c r="B10">
        <f t="shared" ref="B10:C13" si="0">E2</f>
        <v>90.01</v>
      </c>
      <c r="C10">
        <f t="shared" si="0"/>
        <v>100.967</v>
      </c>
    </row>
    <row r="11" spans="1:13">
      <c r="A11">
        <f>C3</f>
        <v>52</v>
      </c>
      <c r="B11">
        <f t="shared" si="0"/>
        <v>689.673</v>
      </c>
      <c r="C11">
        <f t="shared" si="0"/>
        <v>214.08</v>
      </c>
    </row>
    <row r="12" spans="1:13">
      <c r="A12">
        <f>C4</f>
        <v>341</v>
      </c>
      <c r="B12">
        <f t="shared" si="0"/>
        <v>943.18200000000002</v>
      </c>
      <c r="C12">
        <f t="shared" si="0"/>
        <v>421.66199999999998</v>
      </c>
    </row>
    <row r="13" spans="1:13">
      <c r="A13">
        <f>C5</f>
        <v>10</v>
      </c>
      <c r="B13">
        <f t="shared" si="0"/>
        <v>8.6</v>
      </c>
      <c r="C13">
        <f t="shared" si="0"/>
        <v>2.8</v>
      </c>
    </row>
    <row r="15" spans="1:13">
      <c r="B15">
        <f>A10*B10</f>
        <v>8730.9700000000012</v>
      </c>
    </row>
    <row r="16" spans="1:13">
      <c r="B16">
        <f>A11*B11</f>
        <v>35862.995999999999</v>
      </c>
    </row>
    <row r="17" spans="2:2">
      <c r="B17">
        <f>A12*B12</f>
        <v>321625.06200000003</v>
      </c>
    </row>
    <row r="18" spans="2:2">
      <c r="B18">
        <f>A13*B13</f>
        <v>86</v>
      </c>
    </row>
    <row r="19" spans="2:2">
      <c r="B19">
        <f>SUM(B15:B18)</f>
        <v>366305.02800000005</v>
      </c>
    </row>
    <row r="20" spans="2:2">
      <c r="B20">
        <f>SUM(A10:A13)</f>
        <v>500</v>
      </c>
    </row>
    <row r="21" spans="2:2">
      <c r="B21">
        <f>B19/B20</f>
        <v>732.6100560000001</v>
      </c>
    </row>
    <row r="22" spans="2:2">
      <c r="B22">
        <f>ROUND(B21,2)</f>
        <v>732.61</v>
      </c>
    </row>
    <row r="24" spans="2:2">
      <c r="B24">
        <f>POWER(C10,2)</f>
        <v>10194.335089</v>
      </c>
    </row>
    <row r="25" spans="2:2">
      <c r="B25">
        <f>POWER(C11,2)</f>
        <v>45830.246400000004</v>
      </c>
    </row>
    <row r="26" spans="2:2">
      <c r="B26">
        <f>POWER(C12,2)</f>
        <v>177798.84224399997</v>
      </c>
    </row>
    <row r="27" spans="2:2">
      <c r="B27">
        <f>POWER(C13,2)</f>
        <v>7.839999999999999</v>
      </c>
    </row>
    <row r="28" spans="2:2">
      <c r="B28">
        <f>POWER(B10,2)</f>
        <v>8101.8001000000013</v>
      </c>
    </row>
    <row r="29" spans="2:2">
      <c r="B29">
        <f>POWER(B11,2)</f>
        <v>475648.84692899999</v>
      </c>
    </row>
    <row r="30" spans="2:2">
      <c r="B30">
        <f>POWER(B12,2)</f>
        <v>889592.28512400005</v>
      </c>
    </row>
    <row r="31" spans="2:2">
      <c r="B31">
        <f>POWER(B13,2)</f>
        <v>73.959999999999994</v>
      </c>
    </row>
    <row r="32" spans="2:2">
      <c r="B32">
        <f>B24+B28</f>
        <v>18296.135189000001</v>
      </c>
    </row>
    <row r="33" spans="2:2">
      <c r="B33">
        <f>B25+B29</f>
        <v>521479.093329</v>
      </c>
    </row>
    <row r="34" spans="2:2">
      <c r="B34">
        <f>B26+B30</f>
        <v>1067391.1273680001</v>
      </c>
    </row>
    <row r="35" spans="2:2">
      <c r="B35">
        <f>B27+B31</f>
        <v>81.8</v>
      </c>
    </row>
    <row r="36" spans="2:2">
      <c r="B36">
        <f>A10*B32</f>
        <v>1774725.1133330001</v>
      </c>
    </row>
    <row r="37" spans="2:2">
      <c r="B37">
        <f>A11*B33</f>
        <v>27116912.853108</v>
      </c>
    </row>
    <row r="38" spans="2:2">
      <c r="B38">
        <f>A12*B34</f>
        <v>363980374.43248802</v>
      </c>
    </row>
    <row r="39" spans="2:2">
      <c r="B39">
        <f>A13*B35</f>
        <v>818</v>
      </c>
    </row>
    <row r="40" spans="2:2">
      <c r="B40">
        <f>SUM(B36:B39)</f>
        <v>392872830.398929</v>
      </c>
    </row>
    <row r="41" spans="2:2">
      <c r="B41">
        <f>B40/B20</f>
        <v>785745.66079785803</v>
      </c>
    </row>
    <row r="44" spans="2:2">
      <c r="B44">
        <f>B41-POWER(B21,2)</f>
        <v>249028.1666455348</v>
      </c>
    </row>
    <row r="46" spans="2:2">
      <c r="B46">
        <f>SQRT(LN(1+B44/POWER(B21,2)))</f>
        <v>0.61738260330706374</v>
      </c>
    </row>
    <row r="49" spans="2:2">
      <c r="B49">
        <f>LN(B21)-POWER(B46,2)/2</f>
        <v>6.4060329372711298</v>
      </c>
    </row>
    <row r="52" spans="2:2">
      <c r="B52">
        <f>EXP(B49+1.64485*B46)</f>
        <v>1671.5969606110375</v>
      </c>
    </row>
    <row r="53" spans="2:2">
      <c r="B53">
        <f>ROUND(B52,2)</f>
        <v>1671.6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pessimistic-lock-500-ngrinder-r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2026-03-29T20:06:04Z</dcterms:created>
  <dcterms:modified xsi:type="dcterms:W3CDTF">2026-03-29T20:51:00Z</dcterms:modified>
</cp:coreProperties>
</file>