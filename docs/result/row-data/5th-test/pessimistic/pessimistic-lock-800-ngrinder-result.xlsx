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essimistic/"/>
    </mc:Choice>
  </mc:AlternateContent>
  <xr:revisionPtr revIDLastSave="0" documentId="13_ncr:1_{4E6A12B1-2B3D-DF40-9F29-B6410A6AC21C}" xr6:coauthVersionLast="47" xr6:coauthVersionMax="47" xr10:uidLastSave="{00000000-0000-0000-0000-000000000000}"/>
  <bookViews>
    <workbookView xWindow="0" yWindow="660" windowWidth="14700" windowHeight="18460" xr2:uid="{0F9C370B-F6F9-464F-9D45-EBAFC6251A18}"/>
  </bookViews>
  <sheets>
    <sheet name="pessimistic-lock-8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l="1"/>
  <c r="B45" i="1"/>
  <c r="B49" i="1"/>
  <c r="B42" i="1"/>
  <c r="B44" i="1"/>
  <c r="B50" i="1" s="1"/>
  <c r="B46" i="1"/>
  <c r="B52" i="1" s="1"/>
  <c r="B48" i="1"/>
  <c r="B51" i="1"/>
  <c r="B26" i="1"/>
  <c r="B54" i="1" l="1"/>
  <c r="B55" i="1" s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<sst xmlns="http://schemas.openxmlformats.org/spreadsheetml/2006/main" count="13" uniqueCount="13">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</sst>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65" cy="3444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987BBA-6B55-0443-A85A-DA3A290E1898}"/>
            </a:ext>
          </a:extLst>
        </xdr:cNvPr>
        <xdr:cNvSpPr txBox="1"/>
      </xdr:nvSpPr>
      <xdr:spPr>
        <a:xfrm>
          <a:off x="3390900" y="205740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altLang="ko-KR" sz="1100" b="0"/>
        </a:p>
        <a:p>
          <a:endParaRPr lang="ko-KR" altLang="en-US" sz="1100"/>
        </a:p>
      </xdr:txBody>
    </xdr:sp>
    <xdr:clientData/>
  </xdr:oneCellAnchor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EF008EB-1AB4-E848-910B-FFFAF143B0F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EF008EB-1AB4-E848-910B-FFFAF143B0F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21FF83B-5035-DF44-A7AC-D34254E9B7AD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21FF83B-5035-DF44-A7AC-D34254E9B7AD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3F741B-1896-BA4B-9E9D-C2493CED2EB9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3F741B-1896-BA4B-9E9D-C2493CED2EB9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163F013-5512-E944-B0F5-9877C41124C0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163F013-5512-E944-B0F5-9877C41124C0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331ED51-7C7C-C749-A961-C4FD4A61FCFF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331ED51-7C7C-C749-A961-C4FD4A61FCFF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8D82795-ED2E-3843-87E1-F8187A8DDB6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8D82795-ED2E-3843-87E1-F8187A8DDB6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81ED501-030B-824E-96C2-0D22FD5CA8AC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81ED501-030B-824E-96C2-0D22FD5CA8AC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8EBE15D-4835-9740-B0F3-64F40B7000A2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8EBE15D-4835-9740-B0F3-64F40B7000A2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3CFD244-9E11-394F-823C-4F6260FD8DE2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3CFD244-9E11-394F-823C-4F6260FD8DE2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889E0D7-1F15-524F-9692-0C5BF7F5ED81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889E0D7-1F15-524F-9692-0C5BF7F5ED81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89C900D-A935-2F41-A632-1E848FB47D1F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89C900D-A935-2F41-A632-1E848FB47D1F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A9C7287B-2CB5-5E49-9242-4264E9C1ADBA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A9C7287B-2CB5-5E49-9242-4264E9C1ADBA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39A8F49-C2F6-C144-8DAF-B96EF45B655C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39A8F49-C2F6-C144-8DAF-B96EF45B655C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8AEDF2F-BF85-BD4C-9CC7-FC70C2BCCCA6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8AEDF2F-BF85-BD4C-9CC7-FC70C2BCCCA6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54EB3DB5-6C58-7546-9D7A-977034375234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54EB3DB5-6C58-7546-9D7A-977034375234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75644D6-BE85-2B43-A370-8FF98A50E644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75644D6-BE85-2B43-A370-8FF98A50E644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CDD39B3-CC9C-7D48-BB94-E31D693591B0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CDD39B3-CC9C-7D48-BB94-E31D693591B0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FB9D-E021-6A41-831E-1C542EE7CCEA}">
  <dimension ref="A1:M67"/>
  <sheetViews>
    <sheetView tabSelected="1" workbookViewId="0">
      <selection activeCell="A8" sqref="A8:C172"/>
    </sheetView>
  </sheetViews>
  <sheetFormatPr baseColWidth="10" defaultRowHeight="18"/>
  <cols>
    <col min="1" max="1" width="25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46110.863506944443</v>
      </c>
      <c r="B2">
        <v>717</v>
      </c>
      <c r="C2">
        <v>147</v>
      </c>
      <c r="D2">
        <v>0</v>
      </c>
      <c r="E2">
        <v>396.84399999999999</v>
      </c>
      <c r="F2">
        <v>489.28399999999999</v>
      </c>
      <c r="G2">
        <v>73.5</v>
      </c>
      <c r="H2">
        <v>82.713999999999999</v>
      </c>
      <c r="I2">
        <v>6079.5</v>
      </c>
      <c r="J2">
        <v>3</v>
      </c>
      <c r="K2">
        <v>0</v>
      </c>
      <c r="L2">
        <v>161.571</v>
      </c>
      <c r="M2">
        <v>212.762</v>
      </c>
    </row>
    <row r="3" spans="1:13">
      <c r="A3" s="1">
        <v>46110.863530092596</v>
      </c>
      <c r="B3">
        <v>414</v>
      </c>
      <c r="C3">
        <v>248</v>
      </c>
      <c r="D3">
        <v>0</v>
      </c>
      <c r="E3">
        <v>869.11300000000006</v>
      </c>
      <c r="F3">
        <v>514.67600000000004</v>
      </c>
      <c r="G3">
        <v>124</v>
      </c>
      <c r="H3">
        <v>146.03200000000001</v>
      </c>
      <c r="I3">
        <v>18108</v>
      </c>
      <c r="J3">
        <v>192</v>
      </c>
      <c r="K3">
        <v>0</v>
      </c>
      <c r="L3">
        <v>216.012</v>
      </c>
      <c r="M3">
        <v>310.35500000000002</v>
      </c>
    </row>
    <row r="4" spans="1:13">
      <c r="A4" s="1">
        <v>46110.863553240742</v>
      </c>
      <c r="B4">
        <v>370</v>
      </c>
      <c r="C4">
        <v>203</v>
      </c>
      <c r="D4">
        <v>0</v>
      </c>
      <c r="E4">
        <v>1040.4190000000001</v>
      </c>
      <c r="F4">
        <v>340.834</v>
      </c>
      <c r="G4">
        <v>101.5</v>
      </c>
      <c r="H4">
        <v>165</v>
      </c>
      <c r="I4">
        <v>16747.5</v>
      </c>
      <c r="J4">
        <v>203</v>
      </c>
      <c r="K4">
        <v>0</v>
      </c>
      <c r="L4">
        <v>269.33999999999997</v>
      </c>
      <c r="M4">
        <v>384.90600000000001</v>
      </c>
    </row>
    <row r="5" spans="1:13">
      <c r="A5" s="1">
        <v>46110.863576388889</v>
      </c>
      <c r="B5">
        <v>3</v>
      </c>
      <c r="C5">
        <v>200</v>
      </c>
      <c r="D5">
        <v>0</v>
      </c>
      <c r="E5">
        <v>1059.645</v>
      </c>
      <c r="F5">
        <v>282.012</v>
      </c>
      <c r="G5">
        <v>100</v>
      </c>
      <c r="H5">
        <v>165</v>
      </c>
      <c r="I5">
        <v>16500</v>
      </c>
      <c r="J5">
        <v>200</v>
      </c>
      <c r="K5">
        <v>0</v>
      </c>
      <c r="L5">
        <v>272.32499999999999</v>
      </c>
      <c r="M5">
        <v>363.06</v>
      </c>
    </row>
    <row r="6" spans="1:13">
      <c r="A6" s="1">
        <v>46110.863599537035</v>
      </c>
      <c r="B6">
        <v>1</v>
      </c>
      <c r="C6">
        <v>1</v>
      </c>
      <c r="D6">
        <v>0</v>
      </c>
      <c r="E6">
        <v>11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4</v>
      </c>
      <c r="M6">
        <v>6</v>
      </c>
    </row>
    <row r="7" spans="1:13">
      <c r="A7" s="1">
        <v>46110.863622685189</v>
      </c>
      <c r="B7">
        <v>0</v>
      </c>
      <c r="C7">
        <v>1</v>
      </c>
      <c r="D7">
        <v>0</v>
      </c>
      <c r="E7">
        <v>9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3</v>
      </c>
      <c r="M7">
        <v>4</v>
      </c>
    </row>
    <row r="12" spans="1:13">
      <c r="A12">
        <f t="shared" ref="A12:A17" si="0">C2</f>
        <v>147</v>
      </c>
      <c r="B12">
        <f t="shared" ref="B12:C17" si="1">E2</f>
        <v>396.84399999999999</v>
      </c>
      <c r="C12">
        <f t="shared" si="1"/>
        <v>489.28399999999999</v>
      </c>
    </row>
    <row r="13" spans="1:13">
      <c r="A13">
        <f t="shared" si="0"/>
        <v>248</v>
      </c>
      <c r="B13">
        <f t="shared" si="1"/>
        <v>869.11300000000006</v>
      </c>
      <c r="C13">
        <f t="shared" si="1"/>
        <v>514.67600000000004</v>
      </c>
    </row>
    <row r="14" spans="1:13">
      <c r="A14">
        <f t="shared" si="0"/>
        <v>203</v>
      </c>
      <c r="B14">
        <f t="shared" si="1"/>
        <v>1040.4190000000001</v>
      </c>
      <c r="C14">
        <f t="shared" si="1"/>
        <v>340.834</v>
      </c>
    </row>
    <row r="15" spans="1:13">
      <c r="A15">
        <f t="shared" si="0"/>
        <v>200</v>
      </c>
      <c r="B15">
        <f t="shared" si="1"/>
        <v>1059.645</v>
      </c>
      <c r="C15">
        <f t="shared" si="1"/>
        <v>282.012</v>
      </c>
    </row>
    <row r="16" spans="1:13">
      <c r="A16">
        <f t="shared" si="0"/>
        <v>1</v>
      </c>
      <c r="B16">
        <f t="shared" si="1"/>
        <v>11</v>
      </c>
      <c r="C16">
        <f t="shared" si="1"/>
        <v>0</v>
      </c>
    </row>
    <row r="17" spans="1:3">
      <c r="A17">
        <f t="shared" si="0"/>
        <v>1</v>
      </c>
      <c r="B17">
        <f t="shared" si="1"/>
        <v>9</v>
      </c>
      <c r="C17">
        <f t="shared" si="1"/>
        <v>0</v>
      </c>
    </row>
    <row r="19" spans="1:3">
      <c r="B19">
        <f t="shared" ref="B19:B24" si="2">A12*B12</f>
        <v>58336.067999999999</v>
      </c>
    </row>
    <row r="20" spans="1:3">
      <c r="B20">
        <f t="shared" si="2"/>
        <v>215540.024</v>
      </c>
    </row>
    <row r="21" spans="1:3">
      <c r="B21">
        <f t="shared" si="2"/>
        <v>211205.05700000003</v>
      </c>
    </row>
    <row r="22" spans="1:3">
      <c r="B22">
        <f t="shared" si="2"/>
        <v>211929</v>
      </c>
    </row>
    <row r="23" spans="1:3">
      <c r="B23">
        <f t="shared" si="2"/>
        <v>11</v>
      </c>
    </row>
    <row r="24" spans="1:3">
      <c r="B24">
        <f t="shared" si="2"/>
        <v>9</v>
      </c>
    </row>
    <row r="25" spans="1:3">
      <c r="B25">
        <f>SUM(B19:B24)</f>
        <v>697030.14899999998</v>
      </c>
    </row>
    <row r="26" spans="1:3">
      <c r="B26">
        <f>SUM(A12:A17)</f>
        <v>800</v>
      </c>
    </row>
    <row r="27" spans="1:3">
      <c r="B27">
        <f>B25/B26</f>
        <v>871.28768624999998</v>
      </c>
    </row>
    <row r="28" spans="1:3">
      <c r="B28">
        <f>ROUND(B27,2)</f>
        <v>871.29</v>
      </c>
    </row>
    <row r="30" spans="1:3">
      <c r="B30">
        <f t="shared" ref="B30:B35" si="3">POWER(C12,2)</f>
        <v>239398.83265599998</v>
      </c>
    </row>
    <row r="31" spans="1:3">
      <c r="B31">
        <f t="shared" si="3"/>
        <v>264891.38497600006</v>
      </c>
    </row>
    <row r="32" spans="1:3">
      <c r="B32">
        <f t="shared" si="3"/>
        <v>116167.815556</v>
      </c>
    </row>
    <row r="33" spans="2:2">
      <c r="B33">
        <f t="shared" si="3"/>
        <v>79530.768144000001</v>
      </c>
    </row>
    <row r="34" spans="2:2">
      <c r="B34">
        <f t="shared" si="3"/>
        <v>0</v>
      </c>
    </row>
    <row r="35" spans="2:2">
      <c r="B35">
        <f t="shared" si="3"/>
        <v>0</v>
      </c>
    </row>
    <row r="36" spans="2:2">
      <c r="B36">
        <f t="shared" ref="B36:B41" si="4">POWER(B12,2)</f>
        <v>157485.160336</v>
      </c>
    </row>
    <row r="37" spans="2:2">
      <c r="B37">
        <f t="shared" si="4"/>
        <v>755357.40676900011</v>
      </c>
    </row>
    <row r="38" spans="2:2">
      <c r="B38">
        <f t="shared" si="4"/>
        <v>1082471.6955610001</v>
      </c>
    </row>
    <row r="39" spans="2:2">
      <c r="B39">
        <f t="shared" si="4"/>
        <v>1122847.526025</v>
      </c>
    </row>
    <row r="40" spans="2:2">
      <c r="B40">
        <f t="shared" si="4"/>
        <v>121</v>
      </c>
    </row>
    <row r="41" spans="2:2">
      <c r="B41">
        <f t="shared" si="4"/>
        <v>81</v>
      </c>
    </row>
    <row r="42" spans="2:2">
      <c r="B42">
        <f t="shared" ref="B42:B47" si="5">B30+B36</f>
        <v>396883.99299199996</v>
      </c>
    </row>
    <row r="43" spans="2:2">
      <c r="B43">
        <f t="shared" si="5"/>
        <v>1020248.7917450002</v>
      </c>
    </row>
    <row r="44" spans="2:2">
      <c r="B44">
        <f t="shared" si="5"/>
        <v>1198639.5111170001</v>
      </c>
    </row>
    <row r="45" spans="2:2">
      <c r="B45">
        <f t="shared" si="5"/>
        <v>1202378.2941690001</v>
      </c>
    </row>
    <row r="46" spans="2:2">
      <c r="B46">
        <f t="shared" si="5"/>
        <v>121</v>
      </c>
    </row>
    <row r="47" spans="2:2">
      <c r="B47">
        <f t="shared" si="5"/>
        <v>81</v>
      </c>
    </row>
    <row r="48" spans="2:2">
      <c r="B48">
        <f t="shared" ref="B48:B53" si="6">A12*B42</f>
        <v>58341946.969823994</v>
      </c>
    </row>
    <row r="49" spans="2:2">
      <c r="B49">
        <f t="shared" si="6"/>
        <v>253021700.35276005</v>
      </c>
    </row>
    <row r="50" spans="2:2">
      <c r="B50">
        <f t="shared" si="6"/>
        <v>243323820.75675103</v>
      </c>
    </row>
    <row r="51" spans="2:2">
      <c r="B51">
        <f t="shared" si="6"/>
        <v>240475658.83380002</v>
      </c>
    </row>
    <row r="52" spans="2:2">
      <c r="B52">
        <f t="shared" si="6"/>
        <v>121</v>
      </c>
    </row>
    <row r="53" spans="2:2">
      <c r="B53">
        <f t="shared" si="6"/>
        <v>81</v>
      </c>
    </row>
    <row r="54" spans="2:2">
      <c r="B54">
        <f>SUM(B48:B53)</f>
        <v>795163328.91313505</v>
      </c>
    </row>
    <row r="55" spans="2:2">
      <c r="B55">
        <f>B54/B26</f>
        <v>993954.16114141885</v>
      </c>
    </row>
    <row r="58" spans="2:2">
      <c r="B58">
        <f>B55-POWER(B27,2)</f>
        <v>234811.92893054045</v>
      </c>
    </row>
    <row r="60" spans="2:2">
      <c r="B60">
        <f>SQRT(LN(1+B58/POWER(B27,2)))</f>
        <v>0.51913575872267637</v>
      </c>
    </row>
    <row r="63" spans="2:2">
      <c r="B63">
        <f>LN(B27)-POWER(B60,2)/2</f>
        <v>6.6352212485271638</v>
      </c>
    </row>
    <row r="66" spans="2:2">
      <c r="B66">
        <f>EXP(B63+1.64485*B60)</f>
        <v>1788.480581579495</v>
      </c>
    </row>
    <row r="67" spans="2:2">
      <c r="B67">
        <f>ROUND(B66,2)</f>
        <v>1788.48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pessimistic-lock-800-ngrinder-r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2026-03-29T20:10:24Z</dcterms:created>
  <dcterms:modified xsi:type="dcterms:W3CDTF">2026-03-29T20:52:28Z</dcterms:modified>
</cp:coreProperties>
</file>