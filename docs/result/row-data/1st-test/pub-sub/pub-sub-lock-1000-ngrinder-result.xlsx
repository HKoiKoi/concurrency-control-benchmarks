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1st-test/pub-sub/"/>
    </mc:Choice>
  </mc:AlternateContent>
  <xr:revisionPtr revIDLastSave="0" documentId="13_ncr:9_{5B90CF24-1F85-9745-9964-E69A3A134757}" xr6:coauthVersionLast="47" xr6:coauthVersionMax="47" xr10:uidLastSave="{00000000-0000-0000-0000-000000000000}"/>
  <bookViews>
    <workbookView xWindow="14700" yWindow="660" windowWidth="14700" windowHeight="18460" xr2:uid="{970AD5E4-A1D6-B043-A3E4-285CD434D114}"/>
  </bookViews>
  <sheets>
    <sheet name="pub-sub-lock-1000-ngrinder-res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1" l="1"/>
  <c r="B35" i="1"/>
  <c r="B47" i="1" s="1"/>
  <c r="B53" i="1" s="1"/>
  <c r="B34" i="1"/>
  <c r="B32" i="1"/>
  <c r="B31" i="1"/>
  <c r="B43" i="1" s="1"/>
  <c r="B24" i="1"/>
  <c r="B21" i="1"/>
  <c r="B20" i="1"/>
  <c r="C17" i="1"/>
  <c r="B17" i="1"/>
  <c r="A17" i="1"/>
  <c r="C16" i="1"/>
  <c r="B16" i="1"/>
  <c r="B40" i="1" s="1"/>
  <c r="A16" i="1"/>
  <c r="B23" i="1" s="1"/>
  <c r="C15" i="1"/>
  <c r="B33" i="1" s="1"/>
  <c r="B15" i="1"/>
  <c r="B39" i="1" s="1"/>
  <c r="A15" i="1"/>
  <c r="B22" i="1" s="1"/>
  <c r="C14" i="1"/>
  <c r="B14" i="1"/>
  <c r="B38" i="1" s="1"/>
  <c r="A14" i="1"/>
  <c r="C13" i="1"/>
  <c r="B13" i="1"/>
  <c r="B37" i="1" s="1"/>
  <c r="A13" i="1"/>
  <c r="C12" i="1"/>
  <c r="B30" i="1" s="1"/>
  <c r="B12" i="1"/>
  <c r="B36" i="1" s="1"/>
  <c r="A12" i="1"/>
  <c r="B19" i="1" s="1"/>
  <c r="B25" i="1" s="1"/>
  <c r="B45" i="1" l="1"/>
  <c r="B46" i="1"/>
  <c r="B52" i="1" s="1"/>
  <c r="B42" i="1"/>
  <c r="B44" i="1"/>
  <c r="B50" i="1" s="1"/>
  <c r="B49" i="1"/>
  <c r="B51" i="1"/>
  <c r="B26" i="1"/>
  <c r="B27" i="1" s="1"/>
  <c r="B48" i="1"/>
  <c r="B28" i="1" l="1"/>
  <c r="B54" i="1"/>
  <c r="B55" i="1" s="1"/>
  <c r="B58" i="1" s="1"/>
  <c r="B60" i="1" s="1"/>
  <c r="B63" i="1" s="1"/>
  <c r="B66" i="1" s="1"/>
  <c r="B67" i="1" s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<sst xmlns="http://schemas.openxmlformats.org/spreadsheetml/2006/main" count="13" uniqueCount="13">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</sst>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2684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CBB04DF-AFEC-3447-A2C1-A54BD5F0B938}"/>
                </a:ext>
              </a:extLst>
            </xdr:cNvPr>
            <xdr:cNvSpPr txBox="1"/>
          </xdr:nvSpPr>
          <xdr:spPr>
            <a:xfrm>
              <a:off x="0" y="22860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CBB04DF-AFEC-3447-A2C1-A54BD5F0B938}"/>
                </a:ext>
              </a:extLst>
            </xdr:cNvPr>
            <xdr:cNvSpPr txBox="1"/>
          </xdr:nvSpPr>
          <xdr:spPr>
            <a:xfrm>
              <a:off x="0" y="22860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10</xdr:row>
      <xdr:rowOff>0</xdr:rowOff>
    </xdr:from>
    <xdr:ext cx="279628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494EE66-3AFD-EF4E-AC91-FADF6C8B5494}"/>
                </a:ext>
              </a:extLst>
            </xdr:cNvPr>
            <xdr:cNvSpPr txBox="1"/>
          </xdr:nvSpPr>
          <xdr:spPr>
            <a:xfrm>
              <a:off x="2222500" y="22860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494EE66-3AFD-EF4E-AC91-FADF6C8B5494}"/>
                </a:ext>
              </a:extLst>
            </xdr:cNvPr>
            <xdr:cNvSpPr txBox="1"/>
          </xdr:nvSpPr>
          <xdr:spPr>
            <a:xfrm>
              <a:off x="2222500" y="22860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10</xdr:row>
      <xdr:rowOff>0</xdr:rowOff>
    </xdr:from>
    <xdr:ext cx="185692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6398261-3C98-C941-88CA-D2EBDC870B4E}"/>
                </a:ext>
              </a:extLst>
            </xdr:cNvPr>
            <xdr:cNvSpPr txBox="1"/>
          </xdr:nvSpPr>
          <xdr:spPr>
            <a:xfrm>
              <a:off x="3352800" y="22860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6398261-3C98-C941-88CA-D2EBDC870B4E}"/>
                </a:ext>
              </a:extLst>
            </xdr:cNvPr>
            <xdr:cNvSpPr txBox="1"/>
          </xdr:nvSpPr>
          <xdr:spPr>
            <a:xfrm>
              <a:off x="3352800" y="22860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18</xdr:row>
      <xdr:rowOff>0</xdr:rowOff>
    </xdr:from>
    <xdr:ext cx="4539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3E1F46A-F46E-594A-90E3-7346F16779BE}"/>
                </a:ext>
              </a:extLst>
            </xdr:cNvPr>
            <xdr:cNvSpPr txBox="1"/>
          </xdr:nvSpPr>
          <xdr:spPr>
            <a:xfrm>
              <a:off x="0" y="41148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3E1F46A-F46E-594A-90E3-7346F16779BE}"/>
                </a:ext>
              </a:extLst>
            </xdr:cNvPr>
            <xdr:cNvSpPr txBox="1"/>
          </xdr:nvSpPr>
          <xdr:spPr>
            <a:xfrm>
              <a:off x="0" y="41148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24</xdr:row>
      <xdr:rowOff>0</xdr:rowOff>
    </xdr:from>
    <xdr:ext cx="1049454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6335FEE-3EE7-4E4C-8406-5ADD47048AF8}"/>
                </a:ext>
              </a:extLst>
            </xdr:cNvPr>
            <xdr:cNvSpPr txBox="1"/>
          </xdr:nvSpPr>
          <xdr:spPr>
            <a:xfrm>
              <a:off x="0" y="54864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6335FEE-3EE7-4E4C-8406-5ADD47048AF8}"/>
                </a:ext>
              </a:extLst>
            </xdr:cNvPr>
            <xdr:cNvSpPr txBox="1"/>
          </xdr:nvSpPr>
          <xdr:spPr>
            <a:xfrm>
              <a:off x="0" y="54864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25</xdr:row>
      <xdr:rowOff>0</xdr:rowOff>
    </xdr:from>
    <xdr:ext cx="806503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9B81A23-B63B-1C49-8E5C-979875A1B354}"/>
                </a:ext>
              </a:extLst>
            </xdr:cNvPr>
            <xdr:cNvSpPr txBox="1"/>
          </xdr:nvSpPr>
          <xdr:spPr>
            <a:xfrm>
              <a:off x="0" y="57150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9B81A23-B63B-1C49-8E5C-979875A1B354}"/>
                </a:ext>
              </a:extLst>
            </xdr:cNvPr>
            <xdr:cNvSpPr txBox="1"/>
          </xdr:nvSpPr>
          <xdr:spPr>
            <a:xfrm>
              <a:off x="0" y="57150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0</xdr:rowOff>
    </xdr:from>
    <xdr:ext cx="1303947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85FD254F-56E1-3E41-80DE-77B0201763DA}"/>
                </a:ext>
              </a:extLst>
            </xdr:cNvPr>
            <xdr:cNvSpPr txBox="1"/>
          </xdr:nvSpPr>
          <xdr:spPr>
            <a:xfrm>
              <a:off x="0" y="59436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85FD254F-56E1-3E41-80DE-77B0201763DA}"/>
                </a:ext>
              </a:extLst>
            </xdr:cNvPr>
            <xdr:cNvSpPr txBox="1"/>
          </xdr:nvSpPr>
          <xdr:spPr>
            <a:xfrm>
              <a:off x="0" y="59436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29</xdr:row>
      <xdr:rowOff>0</xdr:rowOff>
    </xdr:from>
    <xdr:ext cx="241300" cy="5270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0670D01-1A6D-E741-A51C-EE676B124CEA}"/>
                </a:ext>
              </a:extLst>
            </xdr:cNvPr>
            <xdr:cNvSpPr txBox="1"/>
          </xdr:nvSpPr>
          <xdr:spPr>
            <a:xfrm>
              <a:off x="0" y="66294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0670D01-1A6D-E741-A51C-EE676B124CEA}"/>
                </a:ext>
              </a:extLst>
            </xdr:cNvPr>
            <xdr:cNvSpPr txBox="1"/>
          </xdr:nvSpPr>
          <xdr:spPr>
            <a:xfrm>
              <a:off x="0" y="66294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35</xdr:row>
      <xdr:rowOff>0</xdr:rowOff>
    </xdr:from>
    <xdr:ext cx="253787" cy="5273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7B381F06-0792-3D44-A99D-01CF2C059DAD}"/>
                </a:ext>
              </a:extLst>
            </xdr:cNvPr>
            <xdr:cNvSpPr txBox="1"/>
          </xdr:nvSpPr>
          <xdr:spPr>
            <a:xfrm>
              <a:off x="0" y="80010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7B381F06-0792-3D44-A99D-01CF2C059DAD}"/>
                </a:ext>
              </a:extLst>
            </xdr:cNvPr>
            <xdr:cNvSpPr txBox="1"/>
          </xdr:nvSpPr>
          <xdr:spPr>
            <a:xfrm>
              <a:off x="0" y="80010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41</xdr:row>
      <xdr:rowOff>0</xdr:rowOff>
    </xdr:from>
    <xdr:ext cx="1056379" cy="28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757C45D-AA1B-0A42-8C56-AF463B0ED860}"/>
                </a:ext>
              </a:extLst>
            </xdr:cNvPr>
            <xdr:cNvSpPr txBox="1"/>
          </xdr:nvSpPr>
          <xdr:spPr>
            <a:xfrm>
              <a:off x="0" y="9372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757C45D-AA1B-0A42-8C56-AF463B0ED860}"/>
                </a:ext>
              </a:extLst>
            </xdr:cNvPr>
            <xdr:cNvSpPr txBox="1"/>
          </xdr:nvSpPr>
          <xdr:spPr>
            <a:xfrm>
              <a:off x="0" y="9372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47</xdr:row>
      <xdr:rowOff>0</xdr:rowOff>
    </xdr:from>
    <xdr:ext cx="726930" cy="2648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3CC7E69-2784-5D46-945C-CB1EBE12D9C7}"/>
                </a:ext>
              </a:extLst>
            </xdr:cNvPr>
            <xdr:cNvSpPr txBox="1"/>
          </xdr:nvSpPr>
          <xdr:spPr>
            <a:xfrm>
              <a:off x="0" y="107442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3CC7E69-2784-5D46-945C-CB1EBE12D9C7}"/>
                </a:ext>
              </a:extLst>
            </xdr:cNvPr>
            <xdr:cNvSpPr txBox="1"/>
          </xdr:nvSpPr>
          <xdr:spPr>
            <a:xfrm>
              <a:off x="0" y="107442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53</xdr:row>
      <xdr:rowOff>0</xdr:rowOff>
    </xdr:from>
    <xdr:ext cx="1014380" cy="244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84F2E7CD-80EE-9844-BE24-35E49FEA0C3E}"/>
                </a:ext>
              </a:extLst>
            </xdr:cNvPr>
            <xdr:cNvSpPr txBox="1"/>
          </xdr:nvSpPr>
          <xdr:spPr>
            <a:xfrm>
              <a:off x="0" y="121158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84F2E7CD-80EE-9844-BE24-35E49FEA0C3E}"/>
                </a:ext>
              </a:extLst>
            </xdr:cNvPr>
            <xdr:cNvSpPr txBox="1"/>
          </xdr:nvSpPr>
          <xdr:spPr>
            <a:xfrm>
              <a:off x="0" y="121158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54</xdr:row>
      <xdr:rowOff>0</xdr:rowOff>
    </xdr:from>
    <xdr:ext cx="1759858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1AA62B4A-1191-564C-A532-811FC329B210}"/>
                </a:ext>
              </a:extLst>
            </xdr:cNvPr>
            <xdr:cNvSpPr txBox="1"/>
          </xdr:nvSpPr>
          <xdr:spPr>
            <a:xfrm>
              <a:off x="0" y="123444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1AA62B4A-1191-564C-A532-811FC329B210}"/>
                </a:ext>
              </a:extLst>
            </xdr:cNvPr>
            <xdr:cNvSpPr txBox="1"/>
          </xdr:nvSpPr>
          <xdr:spPr>
            <a:xfrm>
              <a:off x="0" y="123444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57</xdr:row>
      <xdr:rowOff>0</xdr:rowOff>
    </xdr:from>
    <xdr:ext cx="2239972" cy="2485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0578537F-A8B6-684E-BA5B-C4FC5F6EDEB4}"/>
                </a:ext>
              </a:extLst>
            </xdr:cNvPr>
            <xdr:cNvSpPr txBox="1"/>
          </xdr:nvSpPr>
          <xdr:spPr>
            <a:xfrm>
              <a:off x="0" y="130302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0578537F-A8B6-684E-BA5B-C4FC5F6EDEB4}"/>
                </a:ext>
              </a:extLst>
            </xdr:cNvPr>
            <xdr:cNvSpPr txBox="1"/>
          </xdr:nvSpPr>
          <xdr:spPr>
            <a:xfrm>
              <a:off x="0" y="130302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59</xdr:row>
      <xdr:rowOff>0</xdr:rowOff>
    </xdr:from>
    <xdr:ext cx="1559722" cy="5533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9439425E-5B56-4849-8AD9-F38C7565604C}"/>
                </a:ext>
              </a:extLst>
            </xdr:cNvPr>
            <xdr:cNvSpPr txBox="1"/>
          </xdr:nvSpPr>
          <xdr:spPr>
            <a:xfrm>
              <a:off x="0" y="134874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9439425E-5B56-4849-8AD9-F38C7565604C}"/>
                </a:ext>
              </a:extLst>
            </xdr:cNvPr>
            <xdr:cNvSpPr txBox="1"/>
          </xdr:nvSpPr>
          <xdr:spPr>
            <a:xfrm>
              <a:off x="0" y="134874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62</xdr:row>
      <xdr:rowOff>0</xdr:rowOff>
    </xdr:from>
    <xdr:ext cx="1559722" cy="4535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CE300CC-C8B5-9A44-9127-BFD01B89FABA}"/>
                </a:ext>
              </a:extLst>
            </xdr:cNvPr>
            <xdr:cNvSpPr txBox="1"/>
          </xdr:nvSpPr>
          <xdr:spPr>
            <a:xfrm>
              <a:off x="0" y="141732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CE300CC-C8B5-9A44-9127-BFD01B89FABA}"/>
                </a:ext>
              </a:extLst>
            </xdr:cNvPr>
            <xdr:cNvSpPr txBox="1"/>
          </xdr:nvSpPr>
          <xdr:spPr>
            <a:xfrm>
              <a:off x="0" y="141732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65</xdr:row>
      <xdr:rowOff>0</xdr:rowOff>
    </xdr:from>
    <xdr:ext cx="2071786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A2F52B13-C84D-6642-93C8-2EADB207AD27}"/>
                </a:ext>
              </a:extLst>
            </xdr:cNvPr>
            <xdr:cNvSpPr txBox="1"/>
          </xdr:nvSpPr>
          <xdr:spPr>
            <a:xfrm>
              <a:off x="0" y="148590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A2F52B13-C84D-6642-93C8-2EADB207AD27}"/>
                </a:ext>
              </a:extLst>
            </xdr:cNvPr>
            <xdr:cNvSpPr txBox="1"/>
          </xdr:nvSpPr>
          <xdr:spPr>
            <a:xfrm>
              <a:off x="0" y="148590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B5FDF-9292-9D40-8BB3-6DC1F59CF5E6}">
  <dimension ref="A1:M67"/>
  <sheetViews>
    <sheetView tabSelected="1" topLeftCell="A42" workbookViewId="0">
      <selection activeCell="E58" sqref="E58"/>
    </sheetView>
  </sheetViews>
  <sheetFormatPr baseColWidth="10" defaultRowHeight="18"/>
  <cols>
    <col min="1" max="1" width="24.42578125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6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46110.662118055552</v>
      </c>
      <c r="B2">
        <v>910</v>
      </c>
      <c r="C2">
        <v>90</v>
      </c>
      <c r="D2">
        <v>0</v>
      </c>
      <c r="E2">
        <v>332.63299999999998</v>
      </c>
      <c r="F2">
        <v>211.96899999999999</v>
      </c>
      <c r="G2">
        <v>45</v>
      </c>
      <c r="H2">
        <v>77</v>
      </c>
      <c r="I2">
        <v>3465</v>
      </c>
      <c r="J2">
        <v>0</v>
      </c>
      <c r="K2">
        <v>0</v>
      </c>
      <c r="L2">
        <v>91.332999999999998</v>
      </c>
      <c r="M2">
        <v>128.078</v>
      </c>
    </row>
    <row r="3" spans="1:13">
      <c r="A3" s="1">
        <v>46110.662141203706</v>
      </c>
      <c r="B3">
        <v>703</v>
      </c>
      <c r="C3">
        <v>208</v>
      </c>
      <c r="D3">
        <v>0</v>
      </c>
      <c r="E3">
        <v>1095.74</v>
      </c>
      <c r="F3">
        <v>561.60900000000004</v>
      </c>
      <c r="G3">
        <v>104</v>
      </c>
      <c r="H3">
        <v>118.462</v>
      </c>
      <c r="I3">
        <v>12320</v>
      </c>
      <c r="J3">
        <v>98</v>
      </c>
      <c r="K3">
        <v>0</v>
      </c>
      <c r="L3">
        <v>359.01</v>
      </c>
      <c r="M3">
        <v>441.91300000000001</v>
      </c>
    </row>
    <row r="4" spans="1:13">
      <c r="A4" s="1">
        <v>46110.662164351852</v>
      </c>
      <c r="B4">
        <v>503</v>
      </c>
      <c r="C4">
        <v>296</v>
      </c>
      <c r="D4">
        <v>0</v>
      </c>
      <c r="E4">
        <v>1139.912</v>
      </c>
      <c r="F4">
        <v>429.94799999999998</v>
      </c>
      <c r="G4">
        <v>148</v>
      </c>
      <c r="H4">
        <v>165</v>
      </c>
      <c r="I4">
        <v>24420</v>
      </c>
      <c r="J4">
        <v>296</v>
      </c>
      <c r="K4">
        <v>0</v>
      </c>
      <c r="L4">
        <v>300.84100000000001</v>
      </c>
      <c r="M4">
        <v>440.56099999999998</v>
      </c>
    </row>
    <row r="5" spans="1:13">
      <c r="A5" s="1">
        <v>46110.662187499998</v>
      </c>
      <c r="B5">
        <v>201</v>
      </c>
      <c r="C5">
        <v>257</v>
      </c>
      <c r="D5">
        <v>0</v>
      </c>
      <c r="E5">
        <v>1282.451</v>
      </c>
      <c r="F5">
        <v>291.96499999999997</v>
      </c>
      <c r="G5">
        <v>128.5</v>
      </c>
      <c r="H5">
        <v>165</v>
      </c>
      <c r="I5">
        <v>21202.5</v>
      </c>
      <c r="J5">
        <v>257</v>
      </c>
      <c r="K5">
        <v>0</v>
      </c>
      <c r="L5">
        <v>393.28399999999999</v>
      </c>
      <c r="M5">
        <v>480.65</v>
      </c>
    </row>
    <row r="6" spans="1:13">
      <c r="A6" s="1">
        <v>46110.662210648145</v>
      </c>
      <c r="B6">
        <v>1</v>
      </c>
      <c r="C6">
        <v>148</v>
      </c>
      <c r="D6">
        <v>0</v>
      </c>
      <c r="E6">
        <v>1165.9929999999999</v>
      </c>
      <c r="F6">
        <v>306.15300000000002</v>
      </c>
      <c r="G6">
        <v>74</v>
      </c>
      <c r="H6">
        <v>165</v>
      </c>
      <c r="I6">
        <v>12210</v>
      </c>
      <c r="J6">
        <v>148</v>
      </c>
      <c r="K6">
        <v>0</v>
      </c>
      <c r="L6">
        <v>338.108</v>
      </c>
      <c r="M6">
        <v>393.32400000000001</v>
      </c>
    </row>
    <row r="7" spans="1:13">
      <c r="A7" s="1">
        <v>46110.662233796298</v>
      </c>
      <c r="B7">
        <v>0</v>
      </c>
      <c r="C7">
        <v>1</v>
      </c>
      <c r="D7">
        <v>0</v>
      </c>
      <c r="E7">
        <v>17</v>
      </c>
      <c r="F7">
        <v>0</v>
      </c>
      <c r="G7">
        <v>0.5</v>
      </c>
      <c r="H7">
        <v>165</v>
      </c>
      <c r="I7">
        <v>82.5</v>
      </c>
      <c r="J7">
        <v>1</v>
      </c>
      <c r="K7">
        <v>0</v>
      </c>
      <c r="L7">
        <v>3</v>
      </c>
      <c r="M7">
        <v>5</v>
      </c>
    </row>
    <row r="12" spans="1:13">
      <c r="A12">
        <f t="shared" ref="A12:A17" si="0">C2</f>
        <v>90</v>
      </c>
      <c r="B12">
        <f t="shared" ref="B12:C17" si="1">E2</f>
        <v>332.63299999999998</v>
      </c>
      <c r="C12">
        <f t="shared" si="1"/>
        <v>211.96899999999999</v>
      </c>
    </row>
    <row r="13" spans="1:13">
      <c r="A13">
        <f t="shared" si="0"/>
        <v>208</v>
      </c>
      <c r="B13">
        <f t="shared" si="1"/>
        <v>1095.74</v>
      </c>
      <c r="C13">
        <f t="shared" si="1"/>
        <v>561.60900000000004</v>
      </c>
    </row>
    <row r="14" spans="1:13">
      <c r="A14">
        <f t="shared" si="0"/>
        <v>296</v>
      </c>
      <c r="B14">
        <f t="shared" si="1"/>
        <v>1139.912</v>
      </c>
      <c r="C14">
        <f t="shared" si="1"/>
        <v>429.94799999999998</v>
      </c>
    </row>
    <row r="15" spans="1:13">
      <c r="A15">
        <f t="shared" si="0"/>
        <v>257</v>
      </c>
      <c r="B15">
        <f t="shared" si="1"/>
        <v>1282.451</v>
      </c>
      <c r="C15">
        <f t="shared" si="1"/>
        <v>291.96499999999997</v>
      </c>
    </row>
    <row r="16" spans="1:13">
      <c r="A16">
        <f t="shared" si="0"/>
        <v>148</v>
      </c>
      <c r="B16">
        <f t="shared" si="1"/>
        <v>1165.9929999999999</v>
      </c>
      <c r="C16">
        <f t="shared" si="1"/>
        <v>306.15300000000002</v>
      </c>
    </row>
    <row r="17" spans="1:3">
      <c r="A17">
        <f t="shared" si="0"/>
        <v>1</v>
      </c>
      <c r="B17">
        <f t="shared" si="1"/>
        <v>17</v>
      </c>
      <c r="C17">
        <f t="shared" si="1"/>
        <v>0</v>
      </c>
    </row>
    <row r="19" spans="1:3">
      <c r="B19">
        <f t="shared" ref="B19:B24" si="2">A12*B12</f>
        <v>29936.969999999998</v>
      </c>
    </row>
    <row r="20" spans="1:3">
      <c r="B20">
        <f t="shared" si="2"/>
        <v>227913.92</v>
      </c>
    </row>
    <row r="21" spans="1:3">
      <c r="B21">
        <f t="shared" si="2"/>
        <v>337413.95199999999</v>
      </c>
    </row>
    <row r="22" spans="1:3">
      <c r="B22">
        <f t="shared" si="2"/>
        <v>329589.90700000001</v>
      </c>
    </row>
    <row r="23" spans="1:3">
      <c r="B23">
        <f t="shared" si="2"/>
        <v>172566.96399999998</v>
      </c>
    </row>
    <row r="24" spans="1:3">
      <c r="B24">
        <f t="shared" si="2"/>
        <v>17</v>
      </c>
    </row>
    <row r="25" spans="1:3">
      <c r="B25">
        <f>SUM(B19:B24)</f>
        <v>1097438.713</v>
      </c>
    </row>
    <row r="26" spans="1:3">
      <c r="B26">
        <f>SUM(A12:A17)</f>
        <v>1000</v>
      </c>
    </row>
    <row r="27" spans="1:3">
      <c r="B27">
        <f>B25/B26</f>
        <v>1097.438713</v>
      </c>
    </row>
    <row r="28" spans="1:3">
      <c r="B28">
        <f>ROUND(B27,2)</f>
        <v>1097.44</v>
      </c>
    </row>
    <row r="30" spans="1:3">
      <c r="B30">
        <f t="shared" ref="B30:B35" si="3">POWER(C12,2)</f>
        <v>44930.856960999998</v>
      </c>
    </row>
    <row r="31" spans="1:3">
      <c r="B31">
        <f t="shared" si="3"/>
        <v>315404.66888100002</v>
      </c>
    </row>
    <row r="32" spans="1:3">
      <c r="B32">
        <f t="shared" si="3"/>
        <v>184855.28270399998</v>
      </c>
    </row>
    <row r="33" spans="2:2">
      <c r="B33">
        <f t="shared" si="3"/>
        <v>85243.561224999983</v>
      </c>
    </row>
    <row r="34" spans="2:2">
      <c r="B34">
        <f t="shared" si="3"/>
        <v>93729.659409000014</v>
      </c>
    </row>
    <row r="35" spans="2:2">
      <c r="B35">
        <f t="shared" si="3"/>
        <v>0</v>
      </c>
    </row>
    <row r="36" spans="2:2">
      <c r="B36">
        <f t="shared" ref="B36:B41" si="4">POWER(B12,2)</f>
        <v>110644.71268899999</v>
      </c>
    </row>
    <row r="37" spans="2:2">
      <c r="B37">
        <f t="shared" si="4"/>
        <v>1200646.1476</v>
      </c>
    </row>
    <row r="38" spans="2:2">
      <c r="B38">
        <f t="shared" si="4"/>
        <v>1299399.3677440002</v>
      </c>
    </row>
    <row r="39" spans="2:2">
      <c r="B39">
        <f t="shared" si="4"/>
        <v>1644680.5674010001</v>
      </c>
    </row>
    <row r="40" spans="2:2">
      <c r="B40">
        <f t="shared" si="4"/>
        <v>1359539.6760489999</v>
      </c>
    </row>
    <row r="41" spans="2:2">
      <c r="B41">
        <f t="shared" si="4"/>
        <v>289</v>
      </c>
    </row>
    <row r="42" spans="2:2">
      <c r="B42">
        <f t="shared" ref="B42:B47" si="5">B30+B36</f>
        <v>155575.56964999999</v>
      </c>
    </row>
    <row r="43" spans="2:2">
      <c r="B43">
        <f t="shared" si="5"/>
        <v>1516050.816481</v>
      </c>
    </row>
    <row r="44" spans="2:2">
      <c r="B44">
        <f t="shared" si="5"/>
        <v>1484254.6504480001</v>
      </c>
    </row>
    <row r="45" spans="2:2">
      <c r="B45">
        <f t="shared" si="5"/>
        <v>1729924.1286260001</v>
      </c>
    </row>
    <row r="46" spans="2:2">
      <c r="B46">
        <f t="shared" si="5"/>
        <v>1453269.335458</v>
      </c>
    </row>
    <row r="47" spans="2:2">
      <c r="B47">
        <f t="shared" si="5"/>
        <v>289</v>
      </c>
    </row>
    <row r="48" spans="2:2">
      <c r="B48">
        <f t="shared" ref="B48:B53" si="6">A12*B42</f>
        <v>14001801.268499998</v>
      </c>
    </row>
    <row r="49" spans="2:2">
      <c r="B49">
        <f t="shared" si="6"/>
        <v>315338569.82804799</v>
      </c>
    </row>
    <row r="50" spans="2:2">
      <c r="B50">
        <f t="shared" si="6"/>
        <v>439339376.53260803</v>
      </c>
    </row>
    <row r="51" spans="2:2">
      <c r="B51">
        <f t="shared" si="6"/>
        <v>444590501.05688202</v>
      </c>
    </row>
    <row r="52" spans="2:2">
      <c r="B52">
        <f t="shared" si="6"/>
        <v>215083861.64778399</v>
      </c>
    </row>
    <row r="53" spans="2:2">
      <c r="B53">
        <f t="shared" si="6"/>
        <v>289</v>
      </c>
    </row>
    <row r="54" spans="2:2">
      <c r="B54">
        <f>SUM(B48:B53)</f>
        <v>1428354399.333822</v>
      </c>
    </row>
    <row r="55" spans="2:2">
      <c r="B55">
        <f>B54/B26</f>
        <v>1428354.3993338221</v>
      </c>
    </row>
    <row r="58" spans="2:2">
      <c r="B58">
        <f>B55-POWER(B27,2)</f>
        <v>223982.67054272559</v>
      </c>
    </row>
    <row r="60" spans="2:2">
      <c r="B60">
        <f>SQRT(LN(1+B58/POWER(B27,2)))</f>
        <v>0.41299511843782533</v>
      </c>
    </row>
    <row r="63" spans="2:2">
      <c r="B63">
        <f>LN(B27)-POWER(B60,2)/2</f>
        <v>6.9154518170943264</v>
      </c>
    </row>
    <row r="66" spans="2:2">
      <c r="B66">
        <f>EXP(B63+1.64485*B60)</f>
        <v>1987.7663252096975</v>
      </c>
    </row>
    <row r="67" spans="2:2">
      <c r="B67">
        <f>ROUND(B66,2)</f>
        <v>1987.77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pub-sub-lock-1000-ngrinder-resu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2026-03-29T21:33:50Z</dcterms:created>
  <dcterms:modified xsi:type="dcterms:W3CDTF">2026-03-29T21:34:42Z</dcterms:modified>
</cp:coreProperties>
</file>