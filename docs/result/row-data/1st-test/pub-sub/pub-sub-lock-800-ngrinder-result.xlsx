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pub-sub/"/>
    </mc:Choice>
  </mc:AlternateContent>
  <xr:revisionPtr revIDLastSave="0" documentId="13_ncr:9_{DA4DED3F-25A1-014F-8A05-C2C306FADAB5}" xr6:coauthVersionLast="47" xr6:coauthVersionMax="47" xr10:uidLastSave="{00000000-0000-0000-0000-000000000000}"/>
  <bookViews>
    <workbookView xWindow="14700" yWindow="660" windowWidth="14700" windowHeight="18460" xr2:uid="{CAE2691A-37D3-464D-8BAA-D25BD68F8486}"/>
  </bookViews>
  <sheets>
    <sheet name="pub-sub-lock-8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45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44" i="1" l="1"/>
  <c r="B50" i="1" s="1"/>
  <c r="B25" i="1"/>
  <c r="B42" i="1"/>
  <c r="B49" i="1"/>
  <c r="B46" i="1"/>
  <c r="B52" i="1" s="1"/>
  <c r="B51" i="1"/>
  <c r="B26" i="1"/>
  <c r="B48" i="1"/>
  <c r="B54" i="1" l="1"/>
  <c r="B55" i="1" s="1"/>
  <c r="B27" i="1"/>
  <c r="B28" i="1" l="1"/>
  <c r="B58" i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<sst xmlns="http://schemas.openxmlformats.org/spreadsheetml/2006/main" count="13" uniqueCount="13">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</sst>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61B297A-BCD7-8745-996E-80449C582B5B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61B297A-BCD7-8745-996E-80449C582B5B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3D19DF6-E1EF-964F-9BF3-CBB32FFB8A8A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3D19DF6-E1EF-964F-9BF3-CBB32FFB8A8A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0FCEECC-CC8B-0943-ABC4-0FC962DF2D4D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0FCEECC-CC8B-0943-ABC4-0FC962DF2D4D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7FCFCA8-9CF6-EF49-A2DA-0ABCE23A560C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7FCFCA8-9CF6-EF49-A2DA-0ABCE23A560C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FE7569B-3EB2-8440-A0D0-F75933CF6F28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FE7569B-3EB2-8440-A0D0-F75933CF6F28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A7C233D-904C-7340-BB55-9916443C7863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A7C233D-904C-7340-BB55-9916443C7863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120A9D3-8096-C04B-B6E6-15021A56BA85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120A9D3-8096-C04B-B6E6-15021A56BA85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02EF3D8-4C68-9E42-BCDF-DDC2305D707D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02EF3D8-4C68-9E42-BCDF-DDC2305D707D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9DC38BA-9D15-DE45-A691-020BCE5343BA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9DC38BA-9D15-DE45-A691-020BCE5343BA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2CEFA5C-54EF-2544-8913-649B21E2DEBD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2CEFA5C-54EF-2544-8913-649B21E2DEBD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4699F81-D3FE-6245-84E0-A811F6745BA8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4699F81-D3FE-6245-84E0-A811F6745BA8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4E8D5F9-9E57-6943-870C-EAFC4A40CF88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4E8D5F9-9E57-6943-870C-EAFC4A40CF88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C39BDB5-50F3-2544-98FC-C3C0F5113EE1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C39BDB5-50F3-2544-98FC-C3C0F5113EE1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0F2A3F2-354A-D541-AB60-D024AFF0867E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0F2A3F2-354A-D541-AB60-D024AFF0867E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3FF69D5-7663-264F-BDBD-C577345A46BF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3FF69D5-7663-264F-BDBD-C577345A46BF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7011577-19A9-A147-B898-4D638E5404ED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7011577-19A9-A147-B898-4D638E5404ED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3104F35-7773-E042-8A9C-7D85EFF5BACF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3104F35-7773-E042-8A9C-7D85EFF5BACF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43DE-D768-494B-A3D3-1FB25E3CAB5B}">
  <dimension ref="A1:M67"/>
  <sheetViews>
    <sheetView tabSelected="1" workbookViewId="0">
      <selection activeCell="E19" sqref="E19"/>
    </sheetView>
  </sheetViews>
  <sheetFormatPr baseColWidth="10" defaultRowHeight="18"/>
  <cols>
    <col min="1" max="1" width="24.1406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46110.655162037037</v>
      </c>
      <c r="B2">
        <v>707</v>
      </c>
      <c r="C2">
        <v>93</v>
      </c>
      <c r="D2">
        <v>0</v>
      </c>
      <c r="E2">
        <v>337.63400000000001</v>
      </c>
      <c r="F2">
        <v>217.63399999999999</v>
      </c>
      <c r="G2">
        <v>46.5</v>
      </c>
      <c r="H2">
        <v>77</v>
      </c>
      <c r="I2">
        <v>3580.5</v>
      </c>
      <c r="J2">
        <v>0</v>
      </c>
      <c r="K2">
        <v>0</v>
      </c>
      <c r="L2">
        <v>78.376000000000005</v>
      </c>
      <c r="M2">
        <v>171.79599999999999</v>
      </c>
    </row>
    <row r="3" spans="1:13">
      <c r="A3" s="1">
        <v>46110.655185185184</v>
      </c>
      <c r="B3">
        <v>586</v>
      </c>
      <c r="C3">
        <v>123</v>
      </c>
      <c r="D3">
        <v>0</v>
      </c>
      <c r="E3">
        <v>1431.2360000000001</v>
      </c>
      <c r="F3">
        <v>563.61</v>
      </c>
      <c r="G3">
        <v>61.5</v>
      </c>
      <c r="H3">
        <v>89.162999999999997</v>
      </c>
      <c r="I3">
        <v>5483.5</v>
      </c>
      <c r="J3">
        <v>17</v>
      </c>
      <c r="K3">
        <v>0</v>
      </c>
      <c r="L3">
        <v>328.79700000000003</v>
      </c>
      <c r="M3">
        <v>387.62599999999998</v>
      </c>
    </row>
    <row r="4" spans="1:13">
      <c r="A4" s="1">
        <v>46110.65520833333</v>
      </c>
      <c r="B4">
        <v>328</v>
      </c>
      <c r="C4">
        <v>261</v>
      </c>
      <c r="D4">
        <v>0</v>
      </c>
      <c r="E4">
        <v>733.85799999999995</v>
      </c>
      <c r="F4">
        <v>551.24599999999998</v>
      </c>
      <c r="G4">
        <v>130.5</v>
      </c>
      <c r="H4">
        <v>164.66300000000001</v>
      </c>
      <c r="I4">
        <v>21488.5</v>
      </c>
      <c r="J4">
        <v>260</v>
      </c>
      <c r="K4">
        <v>0</v>
      </c>
      <c r="L4">
        <v>196.441</v>
      </c>
      <c r="M4">
        <v>268.72000000000003</v>
      </c>
    </row>
    <row r="5" spans="1:13">
      <c r="A5" s="1">
        <v>46110.655231481483</v>
      </c>
      <c r="B5">
        <v>22</v>
      </c>
      <c r="C5">
        <v>301</v>
      </c>
      <c r="D5">
        <v>0</v>
      </c>
      <c r="E5">
        <v>692.24300000000005</v>
      </c>
      <c r="F5">
        <v>350.40300000000002</v>
      </c>
      <c r="G5">
        <v>150.5</v>
      </c>
      <c r="H5">
        <v>165</v>
      </c>
      <c r="I5">
        <v>24832.5</v>
      </c>
      <c r="J5">
        <v>301</v>
      </c>
      <c r="K5">
        <v>0</v>
      </c>
      <c r="L5">
        <v>205.256</v>
      </c>
      <c r="M5">
        <v>250.58099999999999</v>
      </c>
    </row>
    <row r="6" spans="1:13">
      <c r="A6" s="1">
        <v>46110.65525462963</v>
      </c>
      <c r="B6">
        <v>4</v>
      </c>
      <c r="C6">
        <v>18</v>
      </c>
      <c r="D6">
        <v>0</v>
      </c>
      <c r="E6">
        <v>8.8889999999999993</v>
      </c>
      <c r="F6">
        <v>2.6219999999999999</v>
      </c>
      <c r="G6">
        <v>9</v>
      </c>
      <c r="H6">
        <v>165</v>
      </c>
      <c r="I6">
        <v>1485</v>
      </c>
      <c r="J6">
        <v>18</v>
      </c>
      <c r="K6">
        <v>0</v>
      </c>
      <c r="L6">
        <v>2.444</v>
      </c>
      <c r="M6">
        <v>3.5</v>
      </c>
    </row>
    <row r="7" spans="1:13">
      <c r="A7" s="1">
        <v>46110.655277777776</v>
      </c>
      <c r="B7">
        <v>0</v>
      </c>
      <c r="C7">
        <v>4</v>
      </c>
      <c r="D7">
        <v>0</v>
      </c>
      <c r="E7">
        <v>10.25</v>
      </c>
      <c r="F7">
        <v>2.0459999999999998</v>
      </c>
      <c r="G7">
        <v>2</v>
      </c>
      <c r="H7">
        <v>165</v>
      </c>
      <c r="I7">
        <v>330</v>
      </c>
      <c r="J7">
        <v>4</v>
      </c>
      <c r="K7">
        <v>0</v>
      </c>
      <c r="L7">
        <v>3.25</v>
      </c>
      <c r="M7">
        <v>4.5</v>
      </c>
    </row>
    <row r="12" spans="1:13">
      <c r="A12">
        <f t="shared" ref="A12:A17" si="0">C2</f>
        <v>93</v>
      </c>
      <c r="B12">
        <f t="shared" ref="B12:C17" si="1">E2</f>
        <v>337.63400000000001</v>
      </c>
      <c r="C12">
        <f t="shared" si="1"/>
        <v>217.63399999999999</v>
      </c>
    </row>
    <row r="13" spans="1:13">
      <c r="A13">
        <f t="shared" si="0"/>
        <v>123</v>
      </c>
      <c r="B13">
        <f t="shared" si="1"/>
        <v>1431.2360000000001</v>
      </c>
      <c r="C13">
        <f t="shared" si="1"/>
        <v>563.61</v>
      </c>
    </row>
    <row r="14" spans="1:13">
      <c r="A14">
        <f t="shared" si="0"/>
        <v>261</v>
      </c>
      <c r="B14">
        <f t="shared" si="1"/>
        <v>733.85799999999995</v>
      </c>
      <c r="C14">
        <f t="shared" si="1"/>
        <v>551.24599999999998</v>
      </c>
    </row>
    <row r="15" spans="1:13">
      <c r="A15">
        <f t="shared" si="0"/>
        <v>301</v>
      </c>
      <c r="B15">
        <f t="shared" si="1"/>
        <v>692.24300000000005</v>
      </c>
      <c r="C15">
        <f t="shared" si="1"/>
        <v>350.40300000000002</v>
      </c>
    </row>
    <row r="16" spans="1:13">
      <c r="A16">
        <f t="shared" si="0"/>
        <v>18</v>
      </c>
      <c r="B16">
        <f t="shared" si="1"/>
        <v>8.8889999999999993</v>
      </c>
      <c r="C16">
        <f t="shared" si="1"/>
        <v>2.6219999999999999</v>
      </c>
    </row>
    <row r="17" spans="1:3">
      <c r="A17">
        <f t="shared" si="0"/>
        <v>4</v>
      </c>
      <c r="B17">
        <f t="shared" si="1"/>
        <v>10.25</v>
      </c>
      <c r="C17">
        <f t="shared" si="1"/>
        <v>2.0459999999999998</v>
      </c>
    </row>
    <row r="19" spans="1:3">
      <c r="B19">
        <f t="shared" ref="B19:B24" si="2">A12*B12</f>
        <v>31399.962</v>
      </c>
    </row>
    <row r="20" spans="1:3">
      <c r="B20">
        <f t="shared" si="2"/>
        <v>176042.02800000002</v>
      </c>
    </row>
    <row r="21" spans="1:3">
      <c r="B21">
        <f t="shared" si="2"/>
        <v>191536.93799999999</v>
      </c>
    </row>
    <row r="22" spans="1:3">
      <c r="B22">
        <f t="shared" si="2"/>
        <v>208365.14300000001</v>
      </c>
    </row>
    <row r="23" spans="1:3">
      <c r="B23">
        <f t="shared" si="2"/>
        <v>160.00199999999998</v>
      </c>
    </row>
    <row r="24" spans="1:3">
      <c r="B24">
        <f t="shared" si="2"/>
        <v>41</v>
      </c>
    </row>
    <row r="25" spans="1:3">
      <c r="B25">
        <f>SUM(B19:B24)</f>
        <v>607545.07299999997</v>
      </c>
    </row>
    <row r="26" spans="1:3">
      <c r="B26">
        <f>SUM(A12:A17)</f>
        <v>800</v>
      </c>
    </row>
    <row r="27" spans="1:3">
      <c r="B27">
        <f>B25/B26</f>
        <v>759.43134124999995</v>
      </c>
    </row>
    <row r="28" spans="1:3">
      <c r="B28">
        <f>ROUND(B27,2)</f>
        <v>759.43</v>
      </c>
    </row>
    <row r="30" spans="1:3">
      <c r="B30">
        <f t="shared" ref="B30:B35" si="3">POWER(C12,2)</f>
        <v>47364.557955999997</v>
      </c>
    </row>
    <row r="31" spans="1:3">
      <c r="B31">
        <f t="shared" si="3"/>
        <v>317656.23210000002</v>
      </c>
    </row>
    <row r="32" spans="1:3">
      <c r="B32">
        <f t="shared" si="3"/>
        <v>303872.15251599997</v>
      </c>
    </row>
    <row r="33" spans="2:2">
      <c r="B33">
        <f t="shared" si="3"/>
        <v>122782.26240900002</v>
      </c>
    </row>
    <row r="34" spans="2:2">
      <c r="B34">
        <f t="shared" si="3"/>
        <v>6.8748839999999998</v>
      </c>
    </row>
    <row r="35" spans="2:2">
      <c r="B35">
        <f t="shared" si="3"/>
        <v>4.1861159999999993</v>
      </c>
    </row>
    <row r="36" spans="2:2">
      <c r="B36">
        <f t="shared" ref="B36:B41" si="4">POWER(B12,2)</f>
        <v>113996.71795600001</v>
      </c>
    </row>
    <row r="37" spans="2:2">
      <c r="B37">
        <f t="shared" si="4"/>
        <v>2048436.4876960004</v>
      </c>
    </row>
    <row r="38" spans="2:2">
      <c r="B38">
        <f t="shared" si="4"/>
        <v>538547.56416399986</v>
      </c>
    </row>
    <row r="39" spans="2:2">
      <c r="B39">
        <f t="shared" si="4"/>
        <v>479200.37104900007</v>
      </c>
    </row>
    <row r="40" spans="2:2">
      <c r="B40">
        <f t="shared" si="4"/>
        <v>79.014320999999995</v>
      </c>
    </row>
    <row r="41" spans="2:2">
      <c r="B41">
        <f t="shared" si="4"/>
        <v>105.0625</v>
      </c>
    </row>
    <row r="42" spans="2:2">
      <c r="B42">
        <f t="shared" ref="B42:B47" si="5">B30+B36</f>
        <v>161361.27591200001</v>
      </c>
    </row>
    <row r="43" spans="2:2">
      <c r="B43">
        <f t="shared" si="5"/>
        <v>2366092.7197960005</v>
      </c>
    </row>
    <row r="44" spans="2:2">
      <c r="B44">
        <f t="shared" si="5"/>
        <v>842419.71667999984</v>
      </c>
    </row>
    <row r="45" spans="2:2">
      <c r="B45">
        <f t="shared" si="5"/>
        <v>601982.63345800014</v>
      </c>
    </row>
    <row r="46" spans="2:2">
      <c r="B46">
        <f t="shared" si="5"/>
        <v>85.88920499999999</v>
      </c>
    </row>
    <row r="47" spans="2:2">
      <c r="B47">
        <f t="shared" si="5"/>
        <v>109.248616</v>
      </c>
    </row>
    <row r="48" spans="2:2">
      <c r="B48">
        <f t="shared" ref="B48:B53" si="6">A12*B42</f>
        <v>15006598.659816001</v>
      </c>
    </row>
    <row r="49" spans="2:2">
      <c r="B49">
        <f t="shared" si="6"/>
        <v>291029404.53490806</v>
      </c>
    </row>
    <row r="50" spans="2:2">
      <c r="B50">
        <f t="shared" si="6"/>
        <v>219871546.05347997</v>
      </c>
    </row>
    <row r="51" spans="2:2">
      <c r="B51">
        <f t="shared" si="6"/>
        <v>181196772.67085806</v>
      </c>
    </row>
    <row r="52" spans="2:2">
      <c r="B52">
        <f t="shared" si="6"/>
        <v>1546.0056899999997</v>
      </c>
    </row>
    <row r="53" spans="2:2">
      <c r="B53">
        <f t="shared" si="6"/>
        <v>436.99446399999999</v>
      </c>
    </row>
    <row r="54" spans="2:2">
      <c r="B54">
        <f>SUM(B48:B53)</f>
        <v>707106304.91921616</v>
      </c>
    </row>
    <row r="55" spans="2:2">
      <c r="B55">
        <f>B54/B26</f>
        <v>883882.88114902016</v>
      </c>
    </row>
    <row r="58" spans="2:2">
      <c r="B58">
        <f>B55-POWER(B27,2)</f>
        <v>307146.91907624633</v>
      </c>
    </row>
    <row r="60" spans="2:2">
      <c r="B60">
        <f>SQRT(LN(1+B58/POWER(B27,2)))</f>
        <v>0.6534064657040709</v>
      </c>
    </row>
    <row r="63" spans="2:2">
      <c r="B63">
        <f>LN(B27)-POWER(B60,2)/2</f>
        <v>6.4190999133033975</v>
      </c>
    </row>
    <row r="66" spans="2:2">
      <c r="B66">
        <f>EXP(B63+1.64485*B60)</f>
        <v>1796.9670282873133</v>
      </c>
    </row>
    <row r="67" spans="2:2">
      <c r="B67">
        <f>ROUND(B66,2)</f>
        <v>1796.97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pub-sub-lock-800-ngrinder-resul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2026-03-29T21:32:13Z</dcterms:created>
  <dcterms:modified xsi:type="dcterms:W3CDTF">2026-03-29T21:33:39Z</dcterms:modified>
</cp:coreProperties>
</file>