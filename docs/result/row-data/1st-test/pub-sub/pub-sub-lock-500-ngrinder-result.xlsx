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1st-test/pub-sub/"/>
    </mc:Choice>
  </mc:AlternateContent>
  <xr:revisionPtr revIDLastSave="0" documentId="13_ncr:1_{7DB0C4F2-CAA9-D14D-9C6B-E0583DEEAD4C}" xr6:coauthVersionLast="47" xr6:coauthVersionMax="47" xr10:uidLastSave="{00000000-0000-0000-0000-000000000000}"/>
  <bookViews>
    <workbookView xWindow="14700" yWindow="660" windowWidth="14700" windowHeight="18460" xr2:uid="{F8C5F630-E139-104C-A52B-154248CDF01F}"/>
  </bookViews>
  <sheets>
    <sheet name="pub-sub-lock-5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15" i="1"/>
  <c r="B36" i="1" s="1"/>
  <c r="A15" i="1"/>
  <c r="B21" i="1" s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32" i="1" s="1"/>
  <c r="A11" i="1"/>
  <c r="B38" i="1" l="1"/>
  <c r="B43" i="1" s="1"/>
  <c r="B37" i="1"/>
  <c r="B42" i="1" s="1"/>
  <c r="B47" i="1" s="1"/>
  <c r="B48" i="1" s="1"/>
  <c r="B41" i="1"/>
  <c r="B17" i="1"/>
  <c r="B18" i="1"/>
  <c r="B46" i="1"/>
  <c r="B22" i="1" l="1"/>
  <c r="B24" i="1" s="1"/>
  <c r="B25" i="1" l="1"/>
  <c r="B51" i="1"/>
  <c r="B53" i="1" s="1"/>
  <c r="B56" i="1" s="1"/>
  <c r="B59" i="1" s="1"/>
  <c r="B60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<sst xmlns="http://schemas.openxmlformats.org/spreadsheetml/2006/main" count="13" uniqueCount="13">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</sst>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1D4460C-F3B2-9845-B5C9-C163FA14724A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1D4460C-F3B2-9845-B5C9-C163FA14724A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FFBC5B3-878C-0C44-8F48-423996D0AD9C}"/>
                </a:ext>
              </a:extLst>
            </xdr:cNvPr>
            <xdr:cNvSpPr txBox="1"/>
          </xdr:nvSpPr>
          <xdr:spPr>
            <a:xfrm>
              <a:off x="2692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FFBC5B3-878C-0C44-8F48-423996D0AD9C}"/>
                </a:ext>
              </a:extLst>
            </xdr:cNvPr>
            <xdr:cNvSpPr txBox="1"/>
          </xdr:nvSpPr>
          <xdr:spPr>
            <a:xfrm>
              <a:off x="2692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A815D42-1B6E-D04E-96AC-0BF370D2EE52}"/>
                </a:ext>
              </a:extLst>
            </xdr:cNvPr>
            <xdr:cNvSpPr txBox="1"/>
          </xdr:nvSpPr>
          <xdr:spPr>
            <a:xfrm>
              <a:off x="40005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A815D42-1B6E-D04E-96AC-0BF370D2EE52}"/>
                </a:ext>
              </a:extLst>
            </xdr:cNvPr>
            <xdr:cNvSpPr txBox="1"/>
          </xdr:nvSpPr>
          <xdr:spPr>
            <a:xfrm>
              <a:off x="40005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7C8F6E-E805-E547-AD3B-4BACF687018E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7C8F6E-E805-E547-AD3B-4BACF687018E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591E624-6DBD-B942-870D-0C1324AB4B71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591E624-6DBD-B942-870D-0C1324AB4B71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D370E07-BF1F-9A4C-A0C0-2A5B58ED1A43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D370E07-BF1F-9A4C-A0C0-2A5B58ED1A43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0F77654-BA38-3642-987F-5C51FD64F15B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0F77654-BA38-3642-987F-5C51FD64F15B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B850E25-95E6-E04B-BD53-071F2B3CBAE3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B850E25-95E6-E04B-BD53-071F2B3CBAE3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D0119B2-15A5-DC41-AD46-BAA4E63C6500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D0119B2-15A5-DC41-AD46-BAA4E63C6500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D579655-F79D-D847-9CD8-AB3D6371CD21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D579655-F79D-D847-9CD8-AB3D6371CD21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DEC7F3C-0054-0F45-91DF-343E9F7C1A9F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DEC7F3C-0054-0F45-91DF-343E9F7C1A9F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5BB0ADF-87EC-3641-8D23-9BEB7B5CCC53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5BB0ADF-87EC-3641-8D23-9BEB7B5CCC53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CFB068C-6315-DB46-ACB5-52591095932B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CFB068C-6315-DB46-ACB5-52591095932B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169A3C6-1B81-704C-80D4-366EB4BD0F9B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169A3C6-1B81-704C-80D4-366EB4BD0F9B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DA0DAA0-66E4-6747-9C18-F7F811549229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DA0DAA0-66E4-6747-9C18-F7F811549229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5C933CC-0FB0-F547-B232-C07ABC110CA0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5C933CC-0FB0-F547-B232-C07ABC110CA0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6EA31BF-B13F-BC4B-A45A-F250850912B8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6EA31BF-B13F-BC4B-A45A-F250850912B8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20F0-E37D-DC47-9649-569385C9BCD8}">
  <dimension ref="A1:M60"/>
  <sheetViews>
    <sheetView tabSelected="1" topLeftCell="A35" workbookViewId="0">
      <selection activeCell="E53" sqref="E53"/>
    </sheetView>
  </sheetViews>
  <sheetFormatPr baseColWidth="10" defaultRowHeight="18"/>
  <cols>
    <col min="1" max="1" width="24.710937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46110.648194444446</v>
      </c>
      <c r="B2">
        <v>406</v>
      </c>
      <c r="C2">
        <v>94</v>
      </c>
      <c r="D2">
        <v>0</v>
      </c>
      <c r="E2">
        <v>179.489</v>
      </c>
      <c r="F2">
        <v>137.04499999999999</v>
      </c>
      <c r="G2">
        <v>47</v>
      </c>
      <c r="H2">
        <v>77</v>
      </c>
      <c r="I2">
        <v>3619</v>
      </c>
      <c r="J2">
        <v>0</v>
      </c>
      <c r="K2">
        <v>0</v>
      </c>
      <c r="L2">
        <v>43.521000000000001</v>
      </c>
      <c r="M2">
        <v>89.552999999999997</v>
      </c>
    </row>
    <row r="3" spans="1:13">
      <c r="A3" s="1">
        <v>46110.648217592592</v>
      </c>
      <c r="B3">
        <v>68</v>
      </c>
      <c r="C3">
        <v>361</v>
      </c>
      <c r="D3">
        <v>0</v>
      </c>
      <c r="E3">
        <v>413.39100000000002</v>
      </c>
      <c r="F3">
        <v>358.26600000000002</v>
      </c>
      <c r="G3">
        <v>180.5</v>
      </c>
      <c r="H3">
        <v>139.161</v>
      </c>
      <c r="I3">
        <v>25118.5</v>
      </c>
      <c r="J3">
        <v>255</v>
      </c>
      <c r="K3">
        <v>0</v>
      </c>
      <c r="L3">
        <v>118.889</v>
      </c>
      <c r="M3">
        <v>177.69300000000001</v>
      </c>
    </row>
    <row r="4" spans="1:13">
      <c r="A4" s="1">
        <v>46110.648240740738</v>
      </c>
      <c r="B4">
        <v>7</v>
      </c>
      <c r="C4">
        <v>38</v>
      </c>
      <c r="D4">
        <v>0</v>
      </c>
      <c r="E4">
        <v>5.8159999999999998</v>
      </c>
      <c r="F4">
        <v>1.6519999999999999</v>
      </c>
      <c r="G4">
        <v>19</v>
      </c>
      <c r="H4">
        <v>165</v>
      </c>
      <c r="I4">
        <v>3135</v>
      </c>
      <c r="J4">
        <v>38</v>
      </c>
      <c r="K4">
        <v>0</v>
      </c>
      <c r="L4">
        <v>1.421</v>
      </c>
      <c r="M4">
        <v>2.1579999999999999</v>
      </c>
    </row>
    <row r="5" spans="1:13">
      <c r="A5" s="1">
        <v>46110.648263888892</v>
      </c>
      <c r="B5">
        <v>3</v>
      </c>
      <c r="C5">
        <v>4</v>
      </c>
      <c r="D5">
        <v>0</v>
      </c>
      <c r="E5">
        <v>9.25</v>
      </c>
      <c r="F5">
        <v>2.278</v>
      </c>
      <c r="G5">
        <v>2</v>
      </c>
      <c r="H5">
        <v>165</v>
      </c>
      <c r="I5">
        <v>330</v>
      </c>
      <c r="J5">
        <v>4</v>
      </c>
      <c r="K5">
        <v>0</v>
      </c>
      <c r="L5">
        <v>2.25</v>
      </c>
      <c r="M5">
        <v>3.5</v>
      </c>
    </row>
    <row r="6" spans="1:13">
      <c r="A6" s="1">
        <v>46110.648287037038</v>
      </c>
      <c r="B6">
        <v>0</v>
      </c>
      <c r="C6">
        <v>3</v>
      </c>
      <c r="D6">
        <v>0</v>
      </c>
      <c r="E6">
        <v>11.333</v>
      </c>
      <c r="F6">
        <v>0.47099999999999997</v>
      </c>
      <c r="G6">
        <v>1.5</v>
      </c>
      <c r="H6">
        <v>165</v>
      </c>
      <c r="I6">
        <v>247.5</v>
      </c>
      <c r="J6">
        <v>3</v>
      </c>
      <c r="K6">
        <v>0</v>
      </c>
      <c r="L6">
        <v>3.6669999999999998</v>
      </c>
      <c r="M6">
        <v>4.6669999999999998</v>
      </c>
    </row>
    <row r="11" spans="1:13">
      <c r="A11">
        <f>C2</f>
        <v>94</v>
      </c>
      <c r="B11">
        <f t="shared" ref="B11:C15" si="0">E2</f>
        <v>179.489</v>
      </c>
      <c r="C11">
        <f t="shared" si="0"/>
        <v>137.04499999999999</v>
      </c>
    </row>
    <row r="12" spans="1:13">
      <c r="A12">
        <f>C3</f>
        <v>361</v>
      </c>
      <c r="B12">
        <f t="shared" si="0"/>
        <v>413.39100000000002</v>
      </c>
      <c r="C12">
        <f t="shared" si="0"/>
        <v>358.26600000000002</v>
      </c>
    </row>
    <row r="13" spans="1:13">
      <c r="A13">
        <f>C4</f>
        <v>38</v>
      </c>
      <c r="B13">
        <f t="shared" si="0"/>
        <v>5.8159999999999998</v>
      </c>
      <c r="C13">
        <f t="shared" si="0"/>
        <v>1.6519999999999999</v>
      </c>
    </row>
    <row r="14" spans="1:13">
      <c r="A14">
        <f>C5</f>
        <v>4</v>
      </c>
      <c r="B14">
        <f t="shared" si="0"/>
        <v>9.25</v>
      </c>
      <c r="C14">
        <f t="shared" si="0"/>
        <v>2.278</v>
      </c>
    </row>
    <row r="15" spans="1:13">
      <c r="A15">
        <f>C6</f>
        <v>3</v>
      </c>
      <c r="B15">
        <f t="shared" si="0"/>
        <v>11.333</v>
      </c>
      <c r="C15">
        <f t="shared" si="0"/>
        <v>0.47099999999999997</v>
      </c>
    </row>
    <row r="17" spans="2:2">
      <c r="B17">
        <f>A11*B11</f>
        <v>16871.966</v>
      </c>
    </row>
    <row r="18" spans="2:2">
      <c r="B18">
        <f>A12*B12</f>
        <v>149234.15100000001</v>
      </c>
    </row>
    <row r="19" spans="2:2">
      <c r="B19">
        <f>A13*B13</f>
        <v>221.00799999999998</v>
      </c>
    </row>
    <row r="20" spans="2:2">
      <c r="B20">
        <f>A14*B14</f>
        <v>37</v>
      </c>
    </row>
    <row r="21" spans="2:2">
      <c r="B21">
        <f>A15*B15</f>
        <v>33.999000000000002</v>
      </c>
    </row>
    <row r="22" spans="2:2">
      <c r="B22">
        <f>SUM(B17:B21)</f>
        <v>166398.12400000004</v>
      </c>
    </row>
    <row r="23" spans="2:2">
      <c r="B23">
        <f>SUM(A11:A15)</f>
        <v>500</v>
      </c>
    </row>
    <row r="24" spans="2:2">
      <c r="B24">
        <f>B22/B23</f>
        <v>332.79624800000011</v>
      </c>
    </row>
    <row r="25" spans="2:2">
      <c r="B25">
        <f>ROUND(B24,2)</f>
        <v>332.8</v>
      </c>
    </row>
    <row r="27" spans="2:2">
      <c r="B27">
        <f>POWER(C11,2)</f>
        <v>18781.332024999996</v>
      </c>
    </row>
    <row r="28" spans="2:2">
      <c r="B28">
        <f>POWER(C12,2)</f>
        <v>128354.52675600002</v>
      </c>
    </row>
    <row r="29" spans="2:2">
      <c r="B29">
        <f>POWER(C13,2)</f>
        <v>2.7291039999999995</v>
      </c>
    </row>
    <row r="30" spans="2:2">
      <c r="B30">
        <f>POWER(C14,2)</f>
        <v>5.1892839999999998</v>
      </c>
    </row>
    <row r="31" spans="2:2">
      <c r="B31">
        <f>POWER(C15,2)</f>
        <v>0.22184099999999998</v>
      </c>
    </row>
    <row r="32" spans="2:2">
      <c r="B32">
        <f>POWER(B11,2)</f>
        <v>32216.301121</v>
      </c>
    </row>
    <row r="33" spans="2:2">
      <c r="B33">
        <f>POWER(B12,2)</f>
        <v>170892.118881</v>
      </c>
    </row>
    <row r="34" spans="2:2">
      <c r="B34">
        <f>POWER(B13,2)</f>
        <v>33.825855999999995</v>
      </c>
    </row>
    <row r="35" spans="2:2">
      <c r="B35">
        <f>POWER(B14,2)</f>
        <v>85.5625</v>
      </c>
    </row>
    <row r="36" spans="2:2">
      <c r="B36">
        <f>POWER(B15,2)</f>
        <v>128.43688900000001</v>
      </c>
    </row>
    <row r="37" spans="2:2">
      <c r="B37">
        <f>B27+B32</f>
        <v>50997.633145999993</v>
      </c>
    </row>
    <row r="38" spans="2:2">
      <c r="B38">
        <f>B28+B33</f>
        <v>299246.64563700004</v>
      </c>
    </row>
    <row r="39" spans="2:2">
      <c r="B39">
        <f>B29+B34</f>
        <v>36.554959999999994</v>
      </c>
    </row>
    <row r="40" spans="2:2">
      <c r="B40">
        <f>B30+B35</f>
        <v>90.751784000000001</v>
      </c>
    </row>
    <row r="41" spans="2:2">
      <c r="B41">
        <f>B31+B36</f>
        <v>128.65873000000002</v>
      </c>
    </row>
    <row r="42" spans="2:2">
      <c r="B42">
        <f>A11*B37</f>
        <v>4793777.5157239996</v>
      </c>
    </row>
    <row r="43" spans="2:2">
      <c r="B43">
        <f>A12*B38</f>
        <v>108028039.07495701</v>
      </c>
    </row>
    <row r="44" spans="2:2">
      <c r="B44">
        <f>A13*B39</f>
        <v>1389.0884799999999</v>
      </c>
    </row>
    <row r="45" spans="2:2">
      <c r="B45">
        <f>A14*B40</f>
        <v>363.007136</v>
      </c>
    </row>
    <row r="46" spans="2:2">
      <c r="B46">
        <f>A15*B41</f>
        <v>385.97619000000009</v>
      </c>
    </row>
    <row r="47" spans="2:2">
      <c r="B47">
        <f>SUM(B42:B46)</f>
        <v>112823954.66248702</v>
      </c>
    </row>
    <row r="48" spans="2:2">
      <c r="B48">
        <f>B47/B23</f>
        <v>225647.90932497403</v>
      </c>
    </row>
    <row r="51" spans="2:2">
      <c r="B51">
        <f>B48-POWER(B24,2)</f>
        <v>114894.56664209646</v>
      </c>
    </row>
    <row r="53" spans="2:2">
      <c r="B53">
        <f>SQRT(LN(1+B51/POWER(B24,2)))</f>
        <v>0.84360551823648766</v>
      </c>
    </row>
    <row r="56" spans="2:2">
      <c r="B56">
        <f>LN(B24)-POWER(B53,2)/2</f>
        <v>5.4516952996455137</v>
      </c>
    </row>
    <row r="59" spans="2:2">
      <c r="B59">
        <f>EXP(B56+1.64485*B53)</f>
        <v>933.83506837820096</v>
      </c>
    </row>
    <row r="60" spans="2:2">
      <c r="B60">
        <f>ROUND(B59,2)</f>
        <v>933.84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pub-sub-lock-500-ngrinder-resul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2026-03-29T21:30:15Z</dcterms:created>
  <dcterms:modified xsi:type="dcterms:W3CDTF">2026-03-29T21:32:04Z</dcterms:modified>
</cp:coreProperties>
</file>