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ngja/Projects/concurrency-control-benchmarks/docs/result/row-data/1st-test/pessimistic/"/>
    </mc:Choice>
  </mc:AlternateContent>
  <xr:revisionPtr revIDLastSave="0" documentId="13_ncr:1_{F92E0775-421A-BE47-8BAF-1B306FC79782}" xr6:coauthVersionLast="47" xr6:coauthVersionMax="47" xr10:uidLastSave="{00000000-0000-0000-0000-000000000000}"/>
  <bookViews>
    <workbookView xWindow="0" yWindow="660" windowWidth="14700" windowHeight="18460" xr2:uid="{12F202AF-9566-A44C-95DC-B832A6C0E1EC}"/>
  </bookViews>
  <sheets>
    <sheet name="pessimistic-lock-1000-ngrinder-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1" i="1" l="1"/>
  <c r="B80" i="1"/>
  <c r="B77" i="1"/>
  <c r="B74" i="1"/>
  <c r="B72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4" i="1"/>
  <c r="B33" i="1"/>
  <c r="B32" i="1"/>
  <c r="B31" i="1"/>
  <c r="B30" i="1"/>
  <c r="B29" i="1"/>
  <c r="B28" i="1"/>
  <c r="B27" i="1"/>
  <c r="B26" i="1"/>
  <c r="B25" i="1"/>
  <c r="B24" i="1"/>
  <c r="B23" i="1"/>
  <c r="C21" i="1"/>
  <c r="C20" i="1"/>
  <c r="C19" i="1"/>
  <c r="C18" i="1"/>
  <c r="C17" i="1"/>
  <c r="C16" i="1"/>
  <c r="C15" i="1"/>
  <c r="C14" i="1"/>
  <c r="B21" i="1"/>
  <c r="B20" i="1"/>
  <c r="B19" i="1"/>
  <c r="B18" i="1"/>
  <c r="B17" i="1"/>
  <c r="B16" i="1"/>
  <c r="B15" i="1"/>
  <c r="B14" i="1"/>
  <c r="A21" i="1"/>
  <c r="A20" i="1"/>
  <c r="A19" i="1"/>
  <c r="A18" i="1"/>
  <c r="A17" i="1"/>
  <c r="A16" i="1"/>
  <c r="A15" i="1"/>
  <c r="A14" i="1"/>
</calcChain>
</file>

<file path=xl/sharedStrings.xml><?xml version="1.0" encoding="utf-8"?>
<sst xmlns="http://schemas.openxmlformats.org/spreadsheetml/2006/main" count="13" uniqueCount="13">
  <si>
    <t>DateTime</t>
  </si>
  <si>
    <t>vuser</t>
  </si>
  <si>
    <t>Tests</t>
  </si>
  <si>
    <t>Errors</t>
  </si>
  <si>
    <t>Mean_Test_Time_(ms)</t>
  </si>
  <si>
    <t>Test_Time_Standard_Deviation_(ms)</t>
  </si>
  <si>
    <t>TPS</t>
  </si>
  <si>
    <t>Mean_response_length</t>
  </si>
  <si>
    <t>Response_bytes_per_second</t>
  </si>
  <si>
    <t>Response_errors</t>
  </si>
  <si>
    <t>Mean_time_to_resolve_host</t>
  </si>
  <si>
    <t>Mean_time_to_establish_connection</t>
  </si>
  <si>
    <t>Mean_time_to_first_byte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</si>
</sst>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:ss"/>
  </numFmts>
  <fonts count="19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2"/>
      <color rgb="FF006100"/>
      <name val="맑은 고딕"/>
      <family val="2"/>
      <charset val="129"/>
      <scheme val="minor"/>
    </font>
    <font>
      <sz val="12"/>
      <color rgb="FF9C0006"/>
      <name val="맑은 고딕"/>
      <family val="2"/>
      <charset val="129"/>
      <scheme val="minor"/>
    </font>
    <font>
      <sz val="12"/>
      <color rgb="FF9C5700"/>
      <name val="맑은 고딕"/>
      <family val="2"/>
      <charset val="129"/>
      <scheme val="minor"/>
    </font>
    <font>
      <sz val="12"/>
      <color rgb="FF3F3F76"/>
      <name val="맑은 고딕"/>
      <family val="2"/>
      <charset val="129"/>
      <scheme val="minor"/>
    </font>
    <font>
      <b/>
      <sz val="12"/>
      <color rgb="FF3F3F3F"/>
      <name val="맑은 고딕"/>
      <family val="2"/>
      <charset val="129"/>
      <scheme val="minor"/>
    </font>
    <font>
      <b/>
      <sz val="12"/>
      <color rgb="FFFA7D00"/>
      <name val="맑은 고딕"/>
      <family val="2"/>
      <charset val="129"/>
      <scheme val="minor"/>
    </font>
    <font>
      <sz val="12"/>
      <color rgb="FFFA7D00"/>
      <name val="맑은 고딕"/>
      <family val="2"/>
      <charset val="129"/>
      <scheme val="minor"/>
    </font>
    <font>
      <b/>
      <sz val="12"/>
      <color theme="0"/>
      <name val="맑은 고딕"/>
      <family val="2"/>
      <charset val="129"/>
      <scheme val="minor"/>
    </font>
    <font>
      <sz val="12"/>
      <color rgb="FFFF0000"/>
      <name val="맑은 고딕"/>
      <family val="2"/>
      <charset val="129"/>
      <scheme val="minor"/>
    </font>
    <font>
      <i/>
      <sz val="12"/>
      <color rgb="FF7F7F7F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12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</xdr:row>
      <xdr:rowOff>0</xdr:rowOff>
    </xdr:from>
    <xdr:ext cx="268407" cy="34599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ED7C4F-2510-684B-AE9B-8ACB3AFC98FC}"/>
                </a:ext>
              </a:extLst>
            </xdr:cNvPr>
            <xdr:cNvSpPr txBox="1"/>
          </xdr:nvSpPr>
          <xdr:spPr>
            <a:xfrm>
              <a:off x="0" y="2514600"/>
              <a:ext cx="2684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ED7C4F-2510-684B-AE9B-8ACB3AFC98FC}"/>
                </a:ext>
              </a:extLst>
            </xdr:cNvPr>
            <xdr:cNvSpPr txBox="1"/>
          </xdr:nvSpPr>
          <xdr:spPr>
            <a:xfrm>
              <a:off x="0" y="2514600"/>
              <a:ext cx="2684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12</xdr:row>
      <xdr:rowOff>0</xdr:rowOff>
    </xdr:from>
    <xdr:ext cx="279628" cy="34599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58A6C7C-CBA1-AB4A-A067-0969F1F202C9}"/>
                </a:ext>
              </a:extLst>
            </xdr:cNvPr>
            <xdr:cNvSpPr txBox="1"/>
          </xdr:nvSpPr>
          <xdr:spPr>
            <a:xfrm>
              <a:off x="2222500" y="2514600"/>
              <a:ext cx="279628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58A6C7C-CBA1-AB4A-A067-0969F1F202C9}"/>
                </a:ext>
              </a:extLst>
            </xdr:cNvPr>
            <xdr:cNvSpPr txBox="1"/>
          </xdr:nvSpPr>
          <xdr:spPr>
            <a:xfrm>
              <a:off x="2222500" y="2514600"/>
              <a:ext cx="279628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12</xdr:row>
      <xdr:rowOff>0</xdr:rowOff>
    </xdr:from>
    <xdr:ext cx="185692" cy="34599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2A025D2-6440-B948-BC13-3DD9919461EA}"/>
                </a:ext>
              </a:extLst>
            </xdr:cNvPr>
            <xdr:cNvSpPr txBox="1"/>
          </xdr:nvSpPr>
          <xdr:spPr>
            <a:xfrm>
              <a:off x="3352800" y="2514600"/>
              <a:ext cx="185692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2A025D2-6440-B948-BC13-3DD9919461EA}"/>
                </a:ext>
              </a:extLst>
            </xdr:cNvPr>
            <xdr:cNvSpPr txBox="1"/>
          </xdr:nvSpPr>
          <xdr:spPr>
            <a:xfrm>
              <a:off x="3352800" y="2514600"/>
              <a:ext cx="185692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22</xdr:row>
      <xdr:rowOff>0</xdr:rowOff>
    </xdr:from>
    <xdr:ext cx="453907" cy="34599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80E3424-1BCE-0E49-89B1-E708B4FAB144}"/>
                </a:ext>
              </a:extLst>
            </xdr:cNvPr>
            <xdr:cNvSpPr txBox="1"/>
          </xdr:nvSpPr>
          <xdr:spPr>
            <a:xfrm>
              <a:off x="0" y="34290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80E3424-1BCE-0E49-89B1-E708B4FAB144}"/>
                </a:ext>
              </a:extLst>
            </xdr:cNvPr>
            <xdr:cNvSpPr txBox="1"/>
          </xdr:nvSpPr>
          <xdr:spPr>
            <a:xfrm>
              <a:off x="0" y="34290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30</xdr:row>
      <xdr:rowOff>0</xdr:rowOff>
    </xdr:from>
    <xdr:ext cx="1049454" cy="35900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28C58A9-2E85-AC4C-91DD-09E0BECD4417}"/>
                </a:ext>
              </a:extLst>
            </xdr:cNvPr>
            <xdr:cNvSpPr txBox="1"/>
          </xdr:nvSpPr>
          <xdr:spPr>
            <a:xfrm>
              <a:off x="0" y="43434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𝜇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28C58A9-2E85-AC4C-91DD-09E0BECD4417}"/>
                </a:ext>
              </a:extLst>
            </xdr:cNvPr>
            <xdr:cNvSpPr txBox="1"/>
          </xdr:nvSpPr>
          <xdr:spPr>
            <a:xfrm>
              <a:off x="0" y="43434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(𝑛_𝑖⋅𝜇_𝑖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31</xdr:row>
      <xdr:rowOff>0</xdr:rowOff>
    </xdr:from>
    <xdr:ext cx="806503" cy="35900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0472BD2F-958C-F14A-A37C-60E57CCE7977}"/>
                </a:ext>
              </a:extLst>
            </xdr:cNvPr>
            <xdr:cNvSpPr txBox="1"/>
          </xdr:nvSpPr>
          <xdr:spPr>
            <a:xfrm>
              <a:off x="0" y="45720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0472BD2F-958C-F14A-A37C-60E57CCE7977}"/>
                </a:ext>
              </a:extLst>
            </xdr:cNvPr>
            <xdr:cNvSpPr txBox="1"/>
          </xdr:nvSpPr>
          <xdr:spPr>
            <a:xfrm>
              <a:off x="0" y="45720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31</xdr:row>
      <xdr:rowOff>226785</xdr:rowOff>
    </xdr:from>
    <xdr:ext cx="1303947" cy="49892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A92C04E-1BC2-054B-AAD3-42B2CBEB789E}"/>
                </a:ext>
              </a:extLst>
            </xdr:cNvPr>
            <xdr:cNvSpPr txBox="1"/>
          </xdr:nvSpPr>
          <xdr:spPr>
            <a:xfrm>
              <a:off x="0" y="4798785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A92C04E-1BC2-054B-AAD3-42B2CBEB789E}"/>
                </a:ext>
              </a:extLst>
            </xdr:cNvPr>
            <xdr:cNvSpPr txBox="1"/>
          </xdr:nvSpPr>
          <xdr:spPr>
            <a:xfrm>
              <a:off x="0" y="4798785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𝜇_𝑡𝑜𝑡𝑎𝑙=(Σ_(𝑖=1)^𝑘 (𝑛_𝑖⋅𝜇_𝑖 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35</xdr:row>
      <xdr:rowOff>0</xdr:rowOff>
    </xdr:from>
    <xdr:ext cx="241300" cy="52700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9144FEC-53E0-E347-A422-3749EE853D0B}"/>
                </a:ext>
              </a:extLst>
            </xdr:cNvPr>
            <xdr:cNvSpPr txBox="1"/>
          </xdr:nvSpPr>
          <xdr:spPr>
            <a:xfrm>
              <a:off x="0" y="54864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9144FEC-53E0-E347-A422-3749EE853D0B}"/>
                </a:ext>
              </a:extLst>
            </xdr:cNvPr>
            <xdr:cNvSpPr txBox="1"/>
          </xdr:nvSpPr>
          <xdr:spPr>
            <a:xfrm>
              <a:off x="0" y="54864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42</xdr:row>
      <xdr:rowOff>226785</xdr:rowOff>
    </xdr:from>
    <xdr:ext cx="253787" cy="52732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FA4530A-8259-AA41-A134-B3653E4589CF}"/>
                </a:ext>
              </a:extLst>
            </xdr:cNvPr>
            <xdr:cNvSpPr txBox="1"/>
          </xdr:nvSpPr>
          <xdr:spPr>
            <a:xfrm>
              <a:off x="0" y="6398985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FA4530A-8259-AA41-A134-B3653E4589CF}"/>
                </a:ext>
              </a:extLst>
            </xdr:cNvPr>
            <xdr:cNvSpPr txBox="1"/>
          </xdr:nvSpPr>
          <xdr:spPr>
            <a:xfrm>
              <a:off x="0" y="6398985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51</xdr:row>
      <xdr:rowOff>0</xdr:rowOff>
    </xdr:from>
    <xdr:ext cx="1056379" cy="28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7AF68A31-B4D5-E042-B9F7-FFB45F9D085A}"/>
                </a:ext>
              </a:extLst>
            </xdr:cNvPr>
            <xdr:cNvSpPr txBox="1"/>
          </xdr:nvSpPr>
          <xdr:spPr>
            <a:xfrm>
              <a:off x="0" y="73152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7AF68A31-B4D5-E042-B9F7-FFB45F9D085A}"/>
                </a:ext>
              </a:extLst>
            </xdr:cNvPr>
            <xdr:cNvSpPr txBox="1"/>
          </xdr:nvSpPr>
          <xdr:spPr>
            <a:xfrm>
              <a:off x="0" y="73152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𝐸[𝑋_𝑖^2 ]=𝜎_𝑖^2+𝜇_𝑖^2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0</xdr:rowOff>
    </xdr:from>
    <xdr:ext cx="726930" cy="26488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75FFF62-97DC-B642-A8C3-8B802F5CA866}"/>
                </a:ext>
              </a:extLst>
            </xdr:cNvPr>
            <xdr:cNvSpPr txBox="1"/>
          </xdr:nvSpPr>
          <xdr:spPr>
            <a:xfrm>
              <a:off x="0" y="82296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75FFF62-97DC-B642-A8C3-8B802F5CA866}"/>
                </a:ext>
              </a:extLst>
            </xdr:cNvPr>
            <xdr:cNvSpPr txBox="1"/>
          </xdr:nvSpPr>
          <xdr:spPr>
            <a:xfrm>
              <a:off x="0" y="82296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𝑛_𝑖⋅𝐸[𝑋_𝑖^2 ]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67</xdr:row>
      <xdr:rowOff>0</xdr:rowOff>
    </xdr:from>
    <xdr:ext cx="1014380" cy="24492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3F2BA2E-F6E4-8342-8478-AFF88D292FF6}"/>
                </a:ext>
              </a:extLst>
            </xdr:cNvPr>
            <xdr:cNvSpPr txBox="1"/>
          </xdr:nvSpPr>
          <xdr:spPr>
            <a:xfrm>
              <a:off x="0" y="91440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e>
                        </m:d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3F2BA2E-F6E4-8342-8478-AFF88D292FF6}"/>
                </a:ext>
              </a:extLst>
            </xdr:cNvPr>
            <xdr:cNvSpPr txBox="1"/>
          </xdr:nvSpPr>
          <xdr:spPr>
            <a:xfrm>
              <a:off x="0" y="91440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(𝑛_𝑖⋅𝐸[𝑋_𝑖^2 ])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68</xdr:row>
      <xdr:rowOff>0</xdr:rowOff>
    </xdr:from>
    <xdr:ext cx="1759858" cy="49892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CE032F7-AD5D-C143-AA95-C2DB5A2C940C}"/>
                </a:ext>
              </a:extLst>
            </xdr:cNvPr>
            <xdr:cNvSpPr txBox="1"/>
          </xdr:nvSpPr>
          <xdr:spPr>
            <a:xfrm>
              <a:off x="0" y="93726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Sup>
                                  <m:sSubSup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  <m:sup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CE032F7-AD5D-C143-AA95-C2DB5A2C940C}"/>
                </a:ext>
              </a:extLst>
            </xdr:cNvPr>
            <xdr:cNvSpPr txBox="1"/>
          </xdr:nvSpPr>
          <xdr:spPr>
            <a:xfrm>
              <a:off x="0" y="93726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〖𝐸[𝑋^2 ]〗_𝑡𝑜𝑡𝑎𝑙=(Σ_(𝑖=1)^𝑘 (𝑛_𝑖⋅𝐸[𝑋_𝑖^2 ]))/(Σ_(𝑖=1)^𝑘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71</xdr:row>
      <xdr:rowOff>0</xdr:rowOff>
    </xdr:from>
    <xdr:ext cx="2239972" cy="24855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F20D41CC-E333-5248-ACC8-926EBC799DEA}"/>
                </a:ext>
              </a:extLst>
            </xdr:cNvPr>
            <xdr:cNvSpPr txBox="1"/>
          </xdr:nvSpPr>
          <xdr:spPr>
            <a:xfrm>
              <a:off x="0" y="100584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F20D41CC-E333-5248-ACC8-926EBC799DEA}"/>
                </a:ext>
              </a:extLst>
            </xdr:cNvPr>
            <xdr:cNvSpPr txBox="1"/>
          </xdr:nvSpPr>
          <xdr:spPr>
            <a:xfrm>
              <a:off x="0" y="100584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𝜎_𝑡𝑜𝑡𝑎𝑙^2=𝐸[𝑋^2 ]_𝑡𝑜𝑡𝑎𝑙−(𝜇_𝑡𝑜𝑡𝑎𝑙 )^2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73</xdr:row>
      <xdr:rowOff>0</xdr:rowOff>
    </xdr:from>
    <xdr:ext cx="1559722" cy="55335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D0F4A8F0-6DAB-BA4F-9BEB-6FA4E0DF173F}"/>
                </a:ext>
              </a:extLst>
            </xdr:cNvPr>
            <xdr:cNvSpPr txBox="1"/>
          </xdr:nvSpPr>
          <xdr:spPr>
            <a:xfrm>
              <a:off x="0" y="105156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ln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(1+</m:t>
                        </m:r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𝜎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num>
                          <m:den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𝜇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𝑡𝑜𝑡𝑎𝑙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D0F4A8F0-6DAB-BA4F-9BEB-6FA4E0DF173F}"/>
                </a:ext>
              </a:extLst>
            </xdr:cNvPr>
            <xdr:cNvSpPr txBox="1"/>
          </xdr:nvSpPr>
          <xdr:spPr>
            <a:xfrm>
              <a:off x="0" y="105156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𝜎_𝑙𝑜𝑔=√(ln(1+(𝜎_𝑡𝑜𝑡𝑎𝑙^2)/〖𝜇_𝑡𝑜𝑡𝑎𝑙〗^2 ))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76</xdr:row>
      <xdr:rowOff>1</xdr:rowOff>
    </xdr:from>
    <xdr:ext cx="1559722" cy="45357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6A2DB86F-529E-444F-B23D-565163B8F2D5}"/>
                </a:ext>
              </a:extLst>
            </xdr:cNvPr>
            <xdr:cNvSpPr txBox="1"/>
          </xdr:nvSpPr>
          <xdr:spPr>
            <a:xfrm>
              <a:off x="0" y="11201401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ln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)−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𝜎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log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6A2DB86F-529E-444F-B23D-565163B8F2D5}"/>
                </a:ext>
              </a:extLst>
            </xdr:cNvPr>
            <xdr:cNvSpPr txBox="1"/>
          </xdr:nvSpPr>
          <xdr:spPr>
            <a:xfrm>
              <a:off x="0" y="11201401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𝜇_𝑙𝑜𝑔=ln(𝜇_𝑡𝑜𝑡𝑎𝑙)−(𝜎_log^2)/2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79</xdr:row>
      <xdr:rowOff>0</xdr:rowOff>
    </xdr:from>
    <xdr:ext cx="2071786" cy="1829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A38DFA51-BC9F-3A4C-A81C-D3ADA6EB8C4D}"/>
                </a:ext>
              </a:extLst>
            </xdr:cNvPr>
            <xdr:cNvSpPr txBox="1"/>
          </xdr:nvSpPr>
          <xdr:spPr>
            <a:xfrm>
              <a:off x="0" y="118872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p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95=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exp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+1.64485 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ko-KR" altLang="en-US" sz="1100"/>
            </a:p>
          </xdr:txBody>
        </xdr:sp>
      </mc:Choice>
      <mc:Fallback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A38DFA51-BC9F-3A4C-A81C-D3ADA6EB8C4D}"/>
                </a:ext>
              </a:extLst>
            </xdr:cNvPr>
            <xdr:cNvSpPr txBox="1"/>
          </xdr:nvSpPr>
          <xdr:spPr>
            <a:xfrm>
              <a:off x="0" y="118872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p95="exp(" 𝜇_𝑙𝑜𝑔+1.64485 ⋅𝜎_𝑙𝑜𝑔 ")</a:t>
              </a:r>
              <a:r>
                <a:rPr lang="ko-KR" altLang="en-US" sz="1100" b="0" i="0">
                  <a:latin typeface="Cambria Math" panose="02040503050406030204" pitchFamily="18" charset="0"/>
                </a:rPr>
                <a:t>"</a:t>
              </a:r>
              <a:endParaRPr lang="ko-KR" alt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D3D52-BF4F-1F4B-A87A-1F95E5F9AE19}">
  <dimension ref="A1:M81"/>
  <sheetViews>
    <sheetView tabSelected="1" workbookViewId="0">
      <selection activeCell="E21" sqref="E21"/>
    </sheetView>
  </sheetViews>
  <sheetFormatPr baseColWidth="10" defaultRowHeight="18"/>
  <cols>
    <col min="1" max="1" width="25.85546875" customWidth="1"/>
    <col min="2" max="2" width="12.7109375" bestFit="1" customWidth="1"/>
    <col min="3" max="3" width="8.7109375" bestFit="1" customWidth="1"/>
    <col min="4" max="4" width="6" bestFit="1" customWidth="1"/>
    <col min="5" max="5" width="18.85546875" bestFit="1" customWidth="1"/>
    <col min="6" max="6" width="30.5703125" bestFit="1" customWidth="1"/>
    <col min="7" max="7" width="6.7109375" bestFit="1" customWidth="1"/>
    <col min="8" max="8" width="19.7109375" bestFit="1" customWidth="1"/>
    <col min="9" max="9" width="23.85546875" bestFit="1" customWidth="1"/>
    <col min="10" max="10" width="14" bestFit="1" customWidth="1"/>
    <col min="11" max="11" width="23.42578125" bestFit="1" customWidth="1"/>
    <col min="12" max="12" width="30.7109375" bestFit="1" customWidth="1"/>
    <col min="13" max="13" width="20.71093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s="1">
        <v>46110.620416666665</v>
      </c>
      <c r="B2">
        <v>917</v>
      </c>
      <c r="C2">
        <v>172</v>
      </c>
      <c r="D2">
        <v>0</v>
      </c>
      <c r="E2">
        <v>506.91300000000001</v>
      </c>
      <c r="F2">
        <v>532.16499999999996</v>
      </c>
      <c r="G2">
        <v>86</v>
      </c>
      <c r="H2">
        <v>81</v>
      </c>
      <c r="I2">
        <v>6966</v>
      </c>
      <c r="J2">
        <v>0</v>
      </c>
      <c r="K2">
        <v>0</v>
      </c>
      <c r="L2">
        <v>144.86000000000001</v>
      </c>
      <c r="M2">
        <v>227.65700000000001</v>
      </c>
    </row>
    <row r="3" spans="1:13">
      <c r="A3" s="1">
        <v>46110.620439814818</v>
      </c>
      <c r="B3">
        <v>490</v>
      </c>
      <c r="C3">
        <v>414</v>
      </c>
      <c r="D3">
        <v>0</v>
      </c>
      <c r="E3">
        <v>1133.174</v>
      </c>
      <c r="F3">
        <v>485.238</v>
      </c>
      <c r="G3">
        <v>207</v>
      </c>
      <c r="H3">
        <v>159.31899999999999</v>
      </c>
      <c r="I3">
        <v>32979</v>
      </c>
      <c r="J3">
        <v>386</v>
      </c>
      <c r="K3">
        <v>0</v>
      </c>
      <c r="L3">
        <v>306.548</v>
      </c>
      <c r="M3">
        <v>537.49800000000005</v>
      </c>
    </row>
    <row r="4" spans="1:13">
      <c r="A4" s="1">
        <v>46110.620462962965</v>
      </c>
      <c r="B4">
        <v>203</v>
      </c>
      <c r="C4">
        <v>211</v>
      </c>
      <c r="D4">
        <v>0</v>
      </c>
      <c r="E4">
        <v>1491.5170000000001</v>
      </c>
      <c r="F4">
        <v>580.577</v>
      </c>
      <c r="G4">
        <v>105.5</v>
      </c>
      <c r="H4">
        <v>165</v>
      </c>
      <c r="I4">
        <v>17407.5</v>
      </c>
      <c r="J4">
        <v>211</v>
      </c>
      <c r="K4">
        <v>0</v>
      </c>
      <c r="L4">
        <v>376.60199999999998</v>
      </c>
      <c r="M4">
        <v>564.48299999999995</v>
      </c>
    </row>
    <row r="5" spans="1:13">
      <c r="A5" s="1">
        <v>46110.620486111111</v>
      </c>
      <c r="B5">
        <v>14</v>
      </c>
      <c r="C5">
        <v>193</v>
      </c>
      <c r="D5">
        <v>0</v>
      </c>
      <c r="E5">
        <v>1004.85</v>
      </c>
      <c r="F5">
        <v>481.79700000000003</v>
      </c>
      <c r="G5">
        <v>96.5</v>
      </c>
      <c r="H5">
        <v>165</v>
      </c>
      <c r="I5">
        <v>15922.5</v>
      </c>
      <c r="J5">
        <v>193</v>
      </c>
      <c r="K5">
        <v>0</v>
      </c>
      <c r="L5">
        <v>271.34699999999998</v>
      </c>
      <c r="M5">
        <v>345.52300000000002</v>
      </c>
    </row>
    <row r="6" spans="1:13">
      <c r="A6" s="1">
        <v>46110.620509259257</v>
      </c>
      <c r="B6">
        <v>1</v>
      </c>
      <c r="C6">
        <v>9</v>
      </c>
      <c r="D6">
        <v>0</v>
      </c>
      <c r="E6">
        <v>11.222</v>
      </c>
      <c r="F6">
        <v>4.4909999999999997</v>
      </c>
      <c r="G6">
        <v>4.5</v>
      </c>
      <c r="H6">
        <v>165</v>
      </c>
      <c r="I6">
        <v>742.5</v>
      </c>
      <c r="J6">
        <v>9</v>
      </c>
      <c r="K6">
        <v>0</v>
      </c>
      <c r="L6">
        <v>2.778</v>
      </c>
      <c r="M6">
        <v>4.2220000000000004</v>
      </c>
    </row>
    <row r="7" spans="1:13">
      <c r="A7" s="1">
        <v>46110.620532407411</v>
      </c>
      <c r="B7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>
      <c r="A8" s="1">
        <v>46110.620567129627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>
      <c r="A9" s="1">
        <v>46110.62059027778</v>
      </c>
      <c r="B9">
        <v>0</v>
      </c>
      <c r="C9">
        <v>1</v>
      </c>
      <c r="D9">
        <v>0</v>
      </c>
      <c r="E9">
        <v>12</v>
      </c>
      <c r="F9">
        <v>0</v>
      </c>
      <c r="G9">
        <v>0.5</v>
      </c>
      <c r="H9">
        <v>165</v>
      </c>
      <c r="I9">
        <v>82.5</v>
      </c>
      <c r="J9">
        <v>1</v>
      </c>
      <c r="K9">
        <v>0</v>
      </c>
      <c r="L9">
        <v>3</v>
      </c>
      <c r="M9">
        <v>4</v>
      </c>
    </row>
    <row r="14" spans="1:13">
      <c r="A14">
        <f>C2</f>
        <v>172</v>
      </c>
      <c r="B14">
        <f>E2</f>
        <v>506.91300000000001</v>
      </c>
      <c r="C14">
        <f>F2</f>
        <v>532.16499999999996</v>
      </c>
    </row>
    <row r="15" spans="1:13">
      <c r="A15">
        <f>C3</f>
        <v>414</v>
      </c>
      <c r="B15">
        <f>E3</f>
        <v>1133.174</v>
      </c>
      <c r="C15">
        <f>F3</f>
        <v>485.238</v>
      </c>
    </row>
    <row r="16" spans="1:13">
      <c r="A16">
        <f>C4</f>
        <v>211</v>
      </c>
      <c r="B16">
        <f>E4</f>
        <v>1491.5170000000001</v>
      </c>
      <c r="C16">
        <f>F4</f>
        <v>580.577</v>
      </c>
    </row>
    <row r="17" spans="1:3">
      <c r="A17">
        <f>C5</f>
        <v>193</v>
      </c>
      <c r="B17">
        <f>E5</f>
        <v>1004.85</v>
      </c>
      <c r="C17">
        <f>F5</f>
        <v>481.79700000000003</v>
      </c>
    </row>
    <row r="18" spans="1:3">
      <c r="A18">
        <f>C6</f>
        <v>9</v>
      </c>
      <c r="B18">
        <f>E6</f>
        <v>11.222</v>
      </c>
      <c r="C18">
        <f>F6</f>
        <v>4.4909999999999997</v>
      </c>
    </row>
    <row r="19" spans="1:3">
      <c r="A19">
        <f>C7</f>
        <v>0</v>
      </c>
      <c r="B19">
        <f>E7</f>
        <v>0</v>
      </c>
      <c r="C19">
        <f>F7</f>
        <v>0</v>
      </c>
    </row>
    <row r="20" spans="1:3">
      <c r="A20">
        <f>C8</f>
        <v>0</v>
      </c>
      <c r="B20">
        <f>E8</f>
        <v>0</v>
      </c>
      <c r="C20">
        <f>F8</f>
        <v>0</v>
      </c>
    </row>
    <row r="21" spans="1:3">
      <c r="A21">
        <f>C9</f>
        <v>1</v>
      </c>
      <c r="B21">
        <f>E9</f>
        <v>12</v>
      </c>
      <c r="C21">
        <f>F9</f>
        <v>0</v>
      </c>
    </row>
    <row r="23" spans="1:3">
      <c r="B23">
        <f>A14*B14</f>
        <v>87189.036000000007</v>
      </c>
    </row>
    <row r="24" spans="1:3">
      <c r="B24">
        <f>A15*B15</f>
        <v>469134.03599999996</v>
      </c>
    </row>
    <row r="25" spans="1:3">
      <c r="B25">
        <f>A16*B16</f>
        <v>314710.087</v>
      </c>
    </row>
    <row r="26" spans="1:3">
      <c r="B26">
        <f>A17*B17</f>
        <v>193936.05000000002</v>
      </c>
    </row>
    <row r="27" spans="1:3">
      <c r="B27">
        <f>A18*B18</f>
        <v>100.99799999999999</v>
      </c>
    </row>
    <row r="28" spans="1:3">
      <c r="B28">
        <f>A19*B19</f>
        <v>0</v>
      </c>
    </row>
    <row r="29" spans="1:3">
      <c r="B29">
        <f>A20*B20</f>
        <v>0</v>
      </c>
    </row>
    <row r="30" spans="1:3">
      <c r="B30">
        <f>A21*B21</f>
        <v>12</v>
      </c>
    </row>
    <row r="31" spans="1:3">
      <c r="B31">
        <f>SUM(B23:B30)</f>
        <v>1065082.2069999999</v>
      </c>
    </row>
    <row r="32" spans="1:3">
      <c r="B32">
        <f>SUM(A14:A21)</f>
        <v>1000</v>
      </c>
    </row>
    <row r="33" spans="2:2">
      <c r="B33">
        <f>B31/B32</f>
        <v>1065.0822069999999</v>
      </c>
    </row>
    <row r="34" spans="2:2">
      <c r="B34">
        <f>ROUND(B33,2)</f>
        <v>1065.08</v>
      </c>
    </row>
    <row r="36" spans="2:2">
      <c r="B36">
        <f>POWER(C14,2)</f>
        <v>283199.58722499997</v>
      </c>
    </row>
    <row r="37" spans="2:2">
      <c r="B37">
        <f>POWER(C15,2)</f>
        <v>235455.91664400001</v>
      </c>
    </row>
    <row r="38" spans="2:2">
      <c r="B38">
        <f>POWER(C16,2)</f>
        <v>337069.65292899997</v>
      </c>
    </row>
    <row r="39" spans="2:2">
      <c r="B39">
        <f>POWER(C17,2)</f>
        <v>232128.34920900004</v>
      </c>
    </row>
    <row r="40" spans="2:2">
      <c r="B40">
        <f>POWER(C18,2)</f>
        <v>20.169080999999998</v>
      </c>
    </row>
    <row r="41" spans="2:2">
      <c r="B41">
        <f>POWER(C19,2)</f>
        <v>0</v>
      </c>
    </row>
    <row r="42" spans="2:2">
      <c r="B42">
        <f>POWER(C20,2)</f>
        <v>0</v>
      </c>
    </row>
    <row r="43" spans="2:2">
      <c r="B43">
        <f>POWER(C21,2)</f>
        <v>0</v>
      </c>
    </row>
    <row r="44" spans="2:2">
      <c r="B44">
        <f>POWER(B14,2)</f>
        <v>256960.78956900002</v>
      </c>
    </row>
    <row r="45" spans="2:2">
      <c r="B45">
        <f>POWER(B15,2)</f>
        <v>1284083.314276</v>
      </c>
    </row>
    <row r="46" spans="2:2">
      <c r="B46">
        <f>POWER(B16,2)</f>
        <v>2224622.9612890002</v>
      </c>
    </row>
    <row r="47" spans="2:2">
      <c r="B47">
        <f>POWER(B17,2)</f>
        <v>1009723.5225000001</v>
      </c>
    </row>
    <row r="48" spans="2:2">
      <c r="B48">
        <f>POWER(B18,2)</f>
        <v>125.93328399999999</v>
      </c>
    </row>
    <row r="49" spans="2:2">
      <c r="B49">
        <f>POWER(B19,2)</f>
        <v>0</v>
      </c>
    </row>
    <row r="50" spans="2:2">
      <c r="B50">
        <f>POWER(B20,2)</f>
        <v>0</v>
      </c>
    </row>
    <row r="51" spans="2:2">
      <c r="B51">
        <f>POWER(B21,2)</f>
        <v>144</v>
      </c>
    </row>
    <row r="52" spans="2:2">
      <c r="B52">
        <f>B36+B44</f>
        <v>540160.37679399992</v>
      </c>
    </row>
    <row r="53" spans="2:2">
      <c r="B53">
        <f>B37+B45</f>
        <v>1519539.23092</v>
      </c>
    </row>
    <row r="54" spans="2:2">
      <c r="B54">
        <f>B38+B46</f>
        <v>2561692.6142180003</v>
      </c>
    </row>
    <row r="55" spans="2:2">
      <c r="B55">
        <f>B39+B47</f>
        <v>1241851.8717090001</v>
      </c>
    </row>
    <row r="56" spans="2:2">
      <c r="B56">
        <f>B40+B48</f>
        <v>146.10236499999999</v>
      </c>
    </row>
    <row r="57" spans="2:2">
      <c r="B57">
        <f>B41+B49</f>
        <v>0</v>
      </c>
    </row>
    <row r="58" spans="2:2">
      <c r="B58">
        <f>B42+B50</f>
        <v>0</v>
      </c>
    </row>
    <row r="59" spans="2:2">
      <c r="B59">
        <f>B43+B51</f>
        <v>144</v>
      </c>
    </row>
    <row r="60" spans="2:2">
      <c r="B60">
        <f>A14*B52</f>
        <v>92907584.808567986</v>
      </c>
    </row>
    <row r="61" spans="2:2">
      <c r="B61">
        <f>A15*B53</f>
        <v>629089241.60088003</v>
      </c>
    </row>
    <row r="62" spans="2:2">
      <c r="B62">
        <f>A16*B54</f>
        <v>540517141.59999812</v>
      </c>
    </row>
    <row r="63" spans="2:2">
      <c r="B63">
        <f>A17*B55</f>
        <v>239677411.23983702</v>
      </c>
    </row>
    <row r="64" spans="2:2">
      <c r="B64">
        <f>A18*B56</f>
        <v>1314.9212849999999</v>
      </c>
    </row>
    <row r="65" spans="2:2">
      <c r="B65">
        <f>A19*B57</f>
        <v>0</v>
      </c>
    </row>
    <row r="66" spans="2:2">
      <c r="B66">
        <f>A20*B58</f>
        <v>0</v>
      </c>
    </row>
    <row r="67" spans="2:2">
      <c r="B67">
        <f>A21*B59</f>
        <v>144</v>
      </c>
    </row>
    <row r="68" spans="2:2">
      <c r="B68">
        <f>SUM(B60:B67)</f>
        <v>1502192838.170568</v>
      </c>
    </row>
    <row r="69" spans="2:2">
      <c r="B69">
        <f>B68/B32</f>
        <v>1502192.838170568</v>
      </c>
    </row>
    <row r="72" spans="2:2">
      <c r="B72">
        <f>B69-POWER(B33,2)</f>
        <v>367792.73050257727</v>
      </c>
    </row>
    <row r="74" spans="2:2">
      <c r="B74">
        <f>SQRT(LN(1+B72/POWER(B33,2)))</f>
        <v>0.52992637317868596</v>
      </c>
    </row>
    <row r="77" spans="2:2">
      <c r="B77">
        <f>LN(B33)-POWER(B74,2)/2</f>
        <v>6.8303962843407593</v>
      </c>
    </row>
    <row r="80" spans="2:2">
      <c r="B80">
        <f>EXP(B77+1.64485*B74)</f>
        <v>2212.8701874851308</v>
      </c>
    </row>
    <row r="81" spans="2:2">
      <c r="B81">
        <f>ROUND(B80,2)</f>
        <v>2212.87</v>
      </c>
    </row>
  </sheetData>
  <phoneticPr fontId="18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pessimistic-lock-1000-ngrinder-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함상현</dc:creator>
  <cp:lastModifiedBy>함상현</cp:lastModifiedBy>
  <dcterms:created xsi:type="dcterms:W3CDTF">2026-03-29T18:49:35Z</dcterms:created>
  <dcterms:modified xsi:type="dcterms:W3CDTF">2026-03-29T20:27:56Z</dcterms:modified>
</cp:coreProperties>
</file>