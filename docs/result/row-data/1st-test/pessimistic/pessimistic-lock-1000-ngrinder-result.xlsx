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essimistic/"/>
    </mc:Choice>
  </mc:AlternateContent>
  <xr:revisionPtr revIDLastSave="0" documentId="13_ncr:1_{A642CEF9-B9F4-BA42-8CB7-BFDE00C28DDA}" xr6:coauthVersionLast="47" xr6:coauthVersionMax="47" xr10:uidLastSave="{00000000-0000-0000-0000-000000000000}"/>
  <bookViews>
    <workbookView xWindow="14700" yWindow="660" windowWidth="14700" windowHeight="18460" xr2:uid="{12F202AF-9566-A44C-95DC-B832A6C0E1EC}"/>
  </bookViews>
  <sheets>
    <sheet name="pessimistic-lock-1000-ngrinde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3" i="1"/>
  <c r="E42" i="1"/>
  <c r="E40" i="1"/>
  <c r="E39" i="1"/>
  <c r="E38" i="1"/>
  <c r="E37" i="1"/>
  <c r="E36" i="1"/>
  <c r="E35" i="1"/>
  <c r="E34" i="1"/>
  <c r="E33" i="1"/>
  <c r="E32" i="1"/>
  <c r="E30" i="1"/>
  <c r="E29" i="1"/>
  <c r="E28" i="1"/>
  <c r="E27" i="1"/>
  <c r="E26" i="1"/>
  <c r="E25" i="1"/>
  <c r="E24" i="1"/>
  <c r="E23" i="1"/>
  <c r="E22" i="1"/>
  <c r="B81" i="1"/>
  <c r="B80" i="1"/>
  <c r="B77" i="1"/>
  <c r="B74" i="1"/>
  <c r="B72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4" i="1"/>
  <c r="B33" i="1"/>
  <c r="B32" i="1"/>
  <c r="B31" i="1"/>
  <c r="B30" i="1"/>
  <c r="B29" i="1"/>
  <c r="B28" i="1"/>
  <c r="B27" i="1"/>
  <c r="B26" i="1"/>
  <c r="B25" i="1"/>
  <c r="B24" i="1"/>
  <c r="B23" i="1"/>
  <c r="C21" i="1"/>
  <c r="C20" i="1"/>
  <c r="C19" i="1"/>
  <c r="C18" i="1"/>
  <c r="C17" i="1"/>
  <c r="C16" i="1"/>
  <c r="C15" i="1"/>
  <c r="C14" i="1"/>
  <c r="B21" i="1"/>
  <c r="B20" i="1"/>
  <c r="B19" i="1"/>
  <c r="B18" i="1"/>
  <c r="B17" i="1"/>
  <c r="B16" i="1"/>
  <c r="B15" i="1"/>
  <c r="B14" i="1"/>
  <c r="A21" i="1"/>
  <c r="A20" i="1"/>
  <c r="A19" i="1"/>
  <c r="A18" i="1"/>
  <c r="A17" i="1"/>
  <c r="A16" i="1"/>
  <c r="A15" i="1"/>
  <c r="A14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<sst xmlns="http://schemas.openxmlformats.org/spreadsheetml/2006/main" count="13" uniqueCount="13">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</sst>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ED7C4F-2510-684B-AE9B-8ACB3AFC98FC}"/>
                </a:ext>
              </a:extLst>
            </xdr:cNvPr>
            <xdr:cNvSpPr txBox="1"/>
          </xdr:nvSpPr>
          <xdr:spPr>
            <a:xfrm>
              <a:off x="0" y="25146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ED7C4F-2510-684B-AE9B-8ACB3AFC98FC}"/>
                </a:ext>
              </a:extLst>
            </xdr:cNvPr>
            <xdr:cNvSpPr txBox="1"/>
          </xdr:nvSpPr>
          <xdr:spPr>
            <a:xfrm>
              <a:off x="0" y="25146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12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58A6C7C-CBA1-AB4A-A067-0969F1F202C9}"/>
                </a:ext>
              </a:extLst>
            </xdr:cNvPr>
            <xdr:cNvSpPr txBox="1"/>
          </xdr:nvSpPr>
          <xdr:spPr>
            <a:xfrm>
              <a:off x="22225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58A6C7C-CBA1-AB4A-A067-0969F1F202C9}"/>
                </a:ext>
              </a:extLst>
            </xdr:cNvPr>
            <xdr:cNvSpPr txBox="1"/>
          </xdr:nvSpPr>
          <xdr:spPr>
            <a:xfrm>
              <a:off x="22225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A025D2-6440-B948-BC13-3DD9919461EA}"/>
                </a:ext>
              </a:extLst>
            </xdr:cNvPr>
            <xdr:cNvSpPr txBox="1"/>
          </xdr:nvSpPr>
          <xdr:spPr>
            <a:xfrm>
              <a:off x="3352800" y="25146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A025D2-6440-B948-BC13-3DD9919461EA}"/>
                </a:ext>
              </a:extLst>
            </xdr:cNvPr>
            <xdr:cNvSpPr txBox="1"/>
          </xdr:nvSpPr>
          <xdr:spPr>
            <a:xfrm>
              <a:off x="3352800" y="25146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80E3424-1BCE-0E49-89B1-E708B4FAB144}"/>
                </a:ext>
              </a:extLst>
            </xdr:cNvPr>
            <xdr:cNvSpPr txBox="1"/>
          </xdr:nvSpPr>
          <xdr:spPr>
            <a:xfrm>
              <a:off x="0" y="34290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80E3424-1BCE-0E49-89B1-E708B4FAB144}"/>
                </a:ext>
              </a:extLst>
            </xdr:cNvPr>
            <xdr:cNvSpPr txBox="1"/>
          </xdr:nvSpPr>
          <xdr:spPr>
            <a:xfrm>
              <a:off x="0" y="34290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30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28C58A9-2E85-AC4C-91DD-09E0BECD4417}"/>
                </a:ext>
              </a:extLst>
            </xdr:cNvPr>
            <xdr:cNvSpPr txBox="1"/>
          </xdr:nvSpPr>
          <xdr:spPr>
            <a:xfrm>
              <a:off x="0" y="4343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28C58A9-2E85-AC4C-91DD-09E0BECD4417}"/>
                </a:ext>
              </a:extLst>
            </xdr:cNvPr>
            <xdr:cNvSpPr txBox="1"/>
          </xdr:nvSpPr>
          <xdr:spPr>
            <a:xfrm>
              <a:off x="0" y="4343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472BD2F-958C-F14A-A37C-60E57CCE7977}"/>
                </a:ext>
              </a:extLst>
            </xdr:cNvPr>
            <xdr:cNvSpPr txBox="1"/>
          </xdr:nvSpPr>
          <xdr:spPr>
            <a:xfrm>
              <a:off x="0" y="4572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472BD2F-958C-F14A-A37C-60E57CCE7977}"/>
                </a:ext>
              </a:extLst>
            </xdr:cNvPr>
            <xdr:cNvSpPr txBox="1"/>
          </xdr:nvSpPr>
          <xdr:spPr>
            <a:xfrm>
              <a:off x="0" y="4572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A92C04E-1BC2-054B-AAD3-42B2CBEB789E}"/>
                </a:ext>
              </a:extLst>
            </xdr:cNvPr>
            <xdr:cNvSpPr txBox="1"/>
          </xdr:nvSpPr>
          <xdr:spPr>
            <a:xfrm>
              <a:off x="0" y="47987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A92C04E-1BC2-054B-AAD3-42B2CBEB789E}"/>
                </a:ext>
              </a:extLst>
            </xdr:cNvPr>
            <xdr:cNvSpPr txBox="1"/>
          </xdr:nvSpPr>
          <xdr:spPr>
            <a:xfrm>
              <a:off x="0" y="47987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9144FEC-53E0-E347-A422-3749EE853D0B}"/>
                </a:ext>
              </a:extLst>
            </xdr:cNvPr>
            <xdr:cNvSpPr txBox="1"/>
          </xdr:nvSpPr>
          <xdr:spPr>
            <a:xfrm>
              <a:off x="0" y="5486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9144FEC-53E0-E347-A422-3749EE853D0B}"/>
                </a:ext>
              </a:extLst>
            </xdr:cNvPr>
            <xdr:cNvSpPr txBox="1"/>
          </xdr:nvSpPr>
          <xdr:spPr>
            <a:xfrm>
              <a:off x="0" y="5486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42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FA4530A-8259-AA41-A134-B3653E4589CF}"/>
                </a:ext>
              </a:extLst>
            </xdr:cNvPr>
            <xdr:cNvSpPr txBox="1"/>
          </xdr:nvSpPr>
          <xdr:spPr>
            <a:xfrm>
              <a:off x="0" y="63989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FA4530A-8259-AA41-A134-B3653E4589CF}"/>
                </a:ext>
              </a:extLst>
            </xdr:cNvPr>
            <xdr:cNvSpPr txBox="1"/>
          </xdr:nvSpPr>
          <xdr:spPr>
            <a:xfrm>
              <a:off x="0" y="63989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AF68A31-B4D5-E042-B9F7-FFB45F9D085A}"/>
                </a:ext>
              </a:extLst>
            </xdr:cNvPr>
            <xdr:cNvSpPr txBox="1"/>
          </xdr:nvSpPr>
          <xdr:spPr>
            <a:xfrm>
              <a:off x="0" y="7315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AF68A31-B4D5-E042-B9F7-FFB45F9D085A}"/>
                </a:ext>
              </a:extLst>
            </xdr:cNvPr>
            <xdr:cNvSpPr txBox="1"/>
          </xdr:nvSpPr>
          <xdr:spPr>
            <a:xfrm>
              <a:off x="0" y="7315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75FFF62-97DC-B642-A8C3-8B802F5CA866}"/>
                </a:ext>
              </a:extLst>
            </xdr:cNvPr>
            <xdr:cNvSpPr txBox="1"/>
          </xdr:nvSpPr>
          <xdr:spPr>
            <a:xfrm>
              <a:off x="0" y="8229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75FFF62-97DC-B642-A8C3-8B802F5CA866}"/>
                </a:ext>
              </a:extLst>
            </xdr:cNvPr>
            <xdr:cNvSpPr txBox="1"/>
          </xdr:nvSpPr>
          <xdr:spPr>
            <a:xfrm>
              <a:off x="0" y="8229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67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3F2BA2E-F6E4-8342-8478-AFF88D292FF6}"/>
                </a:ext>
              </a:extLst>
            </xdr:cNvPr>
            <xdr:cNvSpPr txBox="1"/>
          </xdr:nvSpPr>
          <xdr:spPr>
            <a:xfrm>
              <a:off x="0" y="9144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3F2BA2E-F6E4-8342-8478-AFF88D292FF6}"/>
                </a:ext>
              </a:extLst>
            </xdr:cNvPr>
            <xdr:cNvSpPr txBox="1"/>
          </xdr:nvSpPr>
          <xdr:spPr>
            <a:xfrm>
              <a:off x="0" y="9144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68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CE032F7-AD5D-C143-AA95-C2DB5A2C940C}"/>
                </a:ext>
              </a:extLst>
            </xdr:cNvPr>
            <xdr:cNvSpPr txBox="1"/>
          </xdr:nvSpPr>
          <xdr:spPr>
            <a:xfrm>
              <a:off x="0" y="9372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CE032F7-AD5D-C143-AA95-C2DB5A2C940C}"/>
                </a:ext>
              </a:extLst>
            </xdr:cNvPr>
            <xdr:cNvSpPr txBox="1"/>
          </xdr:nvSpPr>
          <xdr:spPr>
            <a:xfrm>
              <a:off x="0" y="9372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71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20D41CC-E333-5248-ACC8-926EBC799DEA}"/>
                </a:ext>
              </a:extLst>
            </xdr:cNvPr>
            <xdr:cNvSpPr txBox="1"/>
          </xdr:nvSpPr>
          <xdr:spPr>
            <a:xfrm>
              <a:off x="0" y="10058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20D41CC-E333-5248-ACC8-926EBC799DEA}"/>
                </a:ext>
              </a:extLst>
            </xdr:cNvPr>
            <xdr:cNvSpPr txBox="1"/>
          </xdr:nvSpPr>
          <xdr:spPr>
            <a:xfrm>
              <a:off x="0" y="10058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73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0F4A8F0-6DAB-BA4F-9BEB-6FA4E0DF173F}"/>
                </a:ext>
              </a:extLst>
            </xdr:cNvPr>
            <xdr:cNvSpPr txBox="1"/>
          </xdr:nvSpPr>
          <xdr:spPr>
            <a:xfrm>
              <a:off x="0" y="10515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D0F4A8F0-6DAB-BA4F-9BEB-6FA4E0DF173F}"/>
                </a:ext>
              </a:extLst>
            </xdr:cNvPr>
            <xdr:cNvSpPr txBox="1"/>
          </xdr:nvSpPr>
          <xdr:spPr>
            <a:xfrm>
              <a:off x="0" y="10515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76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A2DB86F-529E-444F-B23D-565163B8F2D5}"/>
                </a:ext>
              </a:extLst>
            </xdr:cNvPr>
            <xdr:cNvSpPr txBox="1"/>
          </xdr:nvSpPr>
          <xdr:spPr>
            <a:xfrm>
              <a:off x="0" y="112014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A2DB86F-529E-444F-B23D-565163B8F2D5}"/>
                </a:ext>
              </a:extLst>
            </xdr:cNvPr>
            <xdr:cNvSpPr txBox="1"/>
          </xdr:nvSpPr>
          <xdr:spPr>
            <a:xfrm>
              <a:off x="0" y="112014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79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38DFA51-BC9F-3A4C-A81C-D3ADA6EB8C4D}"/>
                </a:ext>
              </a:extLst>
            </xdr:cNvPr>
            <xdr:cNvSpPr txBox="1"/>
          </xdr:nvSpPr>
          <xdr:spPr>
            <a:xfrm>
              <a:off x="0" y="11887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38DFA51-BC9F-3A4C-A81C-D3ADA6EB8C4D}"/>
                </a:ext>
              </a:extLst>
            </xdr:cNvPr>
            <xdr:cNvSpPr txBox="1"/>
          </xdr:nvSpPr>
          <xdr:spPr>
            <a:xfrm>
              <a:off x="0" y="11887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21</xdr:row>
      <xdr:rowOff>0</xdr:rowOff>
    </xdr:from>
    <xdr:ext cx="738151" cy="3550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98964A4-12A0-3647-8CC8-27E9261EA8D1}"/>
                </a:ext>
              </a:extLst>
            </xdr:cNvPr>
            <xdr:cNvSpPr txBox="1"/>
          </xdr:nvSpPr>
          <xdr:spPr>
            <a:xfrm>
              <a:off x="4203700" y="48006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98964A4-12A0-3647-8CC8-27E9261EA8D1}"/>
                </a:ext>
              </a:extLst>
            </xdr:cNvPr>
            <xdr:cNvSpPr txBox="1"/>
          </xdr:nvSpPr>
          <xdr:spPr>
            <a:xfrm>
              <a:off x="4203700" y="48006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(𝑛_𝑖−1) </a:t>
              </a:r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𝑖^2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29</xdr:row>
      <xdr:rowOff>0</xdr:rowOff>
    </xdr:from>
    <xdr:ext cx="1599284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99B05E2-35AC-9644-908D-1E2228341142}"/>
                </a:ext>
              </a:extLst>
            </xdr:cNvPr>
            <xdr:cNvSpPr txBox="1"/>
          </xdr:nvSpPr>
          <xdr:spPr>
            <a:xfrm>
              <a:off x="4203700" y="66294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𝑤𝑖𝑡h𝑖𝑛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99B05E2-35AC-9644-908D-1E2228341142}"/>
                </a:ext>
              </a:extLst>
            </xdr:cNvPr>
            <xdr:cNvSpPr txBox="1"/>
          </xdr:nvSpPr>
          <xdr:spPr>
            <a:xfrm>
              <a:off x="4203700" y="66294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𝑆𝑆_𝑤𝑖𝑡ℎ𝑖𝑛=Σ_(𝑖=1)^2 (𝑛_𝑖−1) 𝜎_𝑖^2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31</xdr:row>
      <xdr:rowOff>0</xdr:rowOff>
    </xdr:from>
    <xdr:ext cx="964816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ABA77CE-3CD9-214A-99A4-86FF87219E8B}"/>
                </a:ext>
              </a:extLst>
            </xdr:cNvPr>
            <xdr:cNvSpPr txBox="1"/>
          </xdr:nvSpPr>
          <xdr:spPr>
            <a:xfrm>
              <a:off x="4203700" y="70866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ABA77CE-3CD9-214A-99A4-86FF87219E8B}"/>
                </a:ext>
              </a:extLst>
            </xdr:cNvPr>
            <xdr:cNvSpPr txBox="1"/>
          </xdr:nvSpPr>
          <xdr:spPr>
            <a:xfrm>
              <a:off x="4203700" y="70866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39</xdr:row>
      <xdr:rowOff>0</xdr:rowOff>
    </xdr:from>
    <xdr:ext cx="1984902" cy="1867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85EE641-D580-3349-A9A9-15E99312D904}"/>
                </a:ext>
              </a:extLst>
            </xdr:cNvPr>
            <xdr:cNvSpPr txBox="1"/>
          </xdr:nvSpPr>
          <xdr:spPr>
            <a:xfrm>
              <a:off x="4203700" y="89154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𝑏𝑒𝑡𝑤𝑒𝑒𝑛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85EE641-D580-3349-A9A9-15E99312D904}"/>
                </a:ext>
              </a:extLst>
            </xdr:cNvPr>
            <xdr:cNvSpPr txBox="1"/>
          </xdr:nvSpPr>
          <xdr:spPr>
            <a:xfrm>
              <a:off x="4203700" y="89154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𝑆𝑆_𝑏𝑒𝑡𝑤𝑒𝑒𝑛=Σ_(𝑖=1)^𝑘 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41</xdr:row>
      <xdr:rowOff>0</xdr:rowOff>
    </xdr:from>
    <xdr:ext cx="1842235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16D8197-9955-ED42-949A-B7E344AFD5C7}"/>
                </a:ext>
              </a:extLst>
            </xdr:cNvPr>
            <xdr:cNvSpPr txBox="1"/>
          </xdr:nvSpPr>
          <xdr:spPr>
            <a:xfrm>
              <a:off x="4203700" y="93726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within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between</m:t>
                                </m:r>
                              </m:sub>
                            </m:sSub>
                          </m:num>
                          <m:den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N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-1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16D8197-9955-ED42-949A-B7E344AFD5C7}"/>
                </a:ext>
              </a:extLst>
            </xdr:cNvPr>
            <xdr:cNvSpPr txBox="1"/>
          </xdr:nvSpPr>
          <xdr:spPr>
            <a:xfrm>
              <a:off x="4203700" y="93726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total=√((SS_within+SS_between)/(N-1))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44</xdr:row>
      <xdr:rowOff>0</xdr:rowOff>
    </xdr:from>
    <xdr:ext cx="43871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A775239-3DBB-7D4A-8A86-BE60A771483A}"/>
                </a:ext>
              </a:extLst>
            </xdr:cNvPr>
            <xdr:cNvSpPr txBox="1"/>
          </xdr:nvSpPr>
          <xdr:spPr>
            <a:xfrm>
              <a:off x="4203700" y="100584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A775239-3DBB-7D4A-8A86-BE60A771483A}"/>
                </a:ext>
              </a:extLst>
            </xdr:cNvPr>
            <xdr:cNvSpPr txBox="1"/>
          </xdr:nvSpPr>
          <xdr:spPr>
            <a:xfrm>
              <a:off x="4203700" y="100584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2𝜎_𝑡𝑜𝑡𝑎𝑙</a:t>
              </a:r>
              <a:endParaRPr lang="en-US" altLang="ko-KR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3D52-BF4F-1F4B-A87A-1F95E5F9AE19}">
  <dimension ref="A1:M81"/>
  <sheetViews>
    <sheetView tabSelected="1" topLeftCell="A10" workbookViewId="0">
      <selection activeCell="E47" sqref="E47"/>
    </sheetView>
  </sheetViews>
  <sheetFormatPr baseColWidth="10" defaultRowHeight="18"/>
  <cols>
    <col min="1" max="1" width="25.85546875" customWidth="1"/>
    <col min="2" max="2" width="12.7109375" bestFit="1" customWidth="1"/>
    <col min="3" max="3" width="8.7109375" bestFit="1" customWidth="1"/>
    <col min="4" max="4" width="25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46110.620416666665</v>
      </c>
      <c r="B2">
        <v>917</v>
      </c>
      <c r="C2">
        <v>172</v>
      </c>
      <c r="D2">
        <v>0</v>
      </c>
      <c r="E2">
        <v>506.91300000000001</v>
      </c>
      <c r="F2">
        <v>532.16499999999996</v>
      </c>
      <c r="G2">
        <v>86</v>
      </c>
      <c r="H2">
        <v>81</v>
      </c>
      <c r="I2">
        <v>6966</v>
      </c>
      <c r="J2">
        <v>0</v>
      </c>
      <c r="K2">
        <v>0</v>
      </c>
      <c r="L2">
        <v>144.86000000000001</v>
      </c>
      <c r="M2">
        <v>227.65700000000001</v>
      </c>
    </row>
    <row r="3" spans="1:13">
      <c r="A3" s="1">
        <v>46110.620439814818</v>
      </c>
      <c r="B3">
        <v>490</v>
      </c>
      <c r="C3">
        <v>414</v>
      </c>
      <c r="D3">
        <v>0</v>
      </c>
      <c r="E3">
        <v>1133.174</v>
      </c>
      <c r="F3">
        <v>485.238</v>
      </c>
      <c r="G3">
        <v>207</v>
      </c>
      <c r="H3">
        <v>159.31899999999999</v>
      </c>
      <c r="I3">
        <v>32979</v>
      </c>
      <c r="J3">
        <v>386</v>
      </c>
      <c r="K3">
        <v>0</v>
      </c>
      <c r="L3">
        <v>306.548</v>
      </c>
      <c r="M3">
        <v>537.49800000000005</v>
      </c>
    </row>
    <row r="4" spans="1:13">
      <c r="A4" s="1">
        <v>46110.620462962965</v>
      </c>
      <c r="B4">
        <v>203</v>
      </c>
      <c r="C4">
        <v>211</v>
      </c>
      <c r="D4">
        <v>0</v>
      </c>
      <c r="E4">
        <v>1491.5170000000001</v>
      </c>
      <c r="F4">
        <v>580.577</v>
      </c>
      <c r="G4">
        <v>105.5</v>
      </c>
      <c r="H4">
        <v>165</v>
      </c>
      <c r="I4">
        <v>17407.5</v>
      </c>
      <c r="J4">
        <v>211</v>
      </c>
      <c r="K4">
        <v>0</v>
      </c>
      <c r="L4">
        <v>376.60199999999998</v>
      </c>
      <c r="M4">
        <v>564.48299999999995</v>
      </c>
    </row>
    <row r="5" spans="1:13">
      <c r="A5" s="1">
        <v>46110.620486111111</v>
      </c>
      <c r="B5">
        <v>14</v>
      </c>
      <c r="C5">
        <v>193</v>
      </c>
      <c r="D5">
        <v>0</v>
      </c>
      <c r="E5">
        <v>1004.85</v>
      </c>
      <c r="F5">
        <v>481.79700000000003</v>
      </c>
      <c r="G5">
        <v>96.5</v>
      </c>
      <c r="H5">
        <v>165</v>
      </c>
      <c r="I5">
        <v>15922.5</v>
      </c>
      <c r="J5">
        <v>193</v>
      </c>
      <c r="K5">
        <v>0</v>
      </c>
      <c r="L5">
        <v>271.34699999999998</v>
      </c>
      <c r="M5">
        <v>345.52300000000002</v>
      </c>
    </row>
    <row r="6" spans="1:13">
      <c r="A6" s="1">
        <v>46110.620509259257</v>
      </c>
      <c r="B6">
        <v>1</v>
      </c>
      <c r="C6">
        <v>9</v>
      </c>
      <c r="D6">
        <v>0</v>
      </c>
      <c r="E6">
        <v>11.222</v>
      </c>
      <c r="F6">
        <v>4.4909999999999997</v>
      </c>
      <c r="G6">
        <v>4.5</v>
      </c>
      <c r="H6">
        <v>165</v>
      </c>
      <c r="I6">
        <v>742.5</v>
      </c>
      <c r="J6">
        <v>9</v>
      </c>
      <c r="K6">
        <v>0</v>
      </c>
      <c r="L6">
        <v>2.778</v>
      </c>
      <c r="M6">
        <v>4.2220000000000004</v>
      </c>
    </row>
    <row r="7" spans="1:13">
      <c r="A7" s="1">
        <v>46110.620532407411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46110.620567129627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46110.62059027778</v>
      </c>
      <c r="B9">
        <v>0</v>
      </c>
      <c r="C9">
        <v>1</v>
      </c>
      <c r="D9">
        <v>0</v>
      </c>
      <c r="E9">
        <v>12</v>
      </c>
      <c r="F9">
        <v>0</v>
      </c>
      <c r="G9">
        <v>0.5</v>
      </c>
      <c r="H9">
        <v>165</v>
      </c>
      <c r="I9">
        <v>82.5</v>
      </c>
      <c r="J9">
        <v>1</v>
      </c>
      <c r="K9">
        <v>0</v>
      </c>
      <c r="L9">
        <v>3</v>
      </c>
      <c r="M9">
        <v>4</v>
      </c>
    </row>
    <row r="14" spans="1:13">
      <c r="A14">
        <f t="shared" ref="A14:A21" si="0">C2</f>
        <v>172</v>
      </c>
      <c r="B14">
        <f t="shared" ref="B14:C21" si="1">E2</f>
        <v>506.91300000000001</v>
      </c>
      <c r="C14">
        <f t="shared" si="1"/>
        <v>532.16499999999996</v>
      </c>
    </row>
    <row r="15" spans="1:13">
      <c r="A15">
        <f t="shared" si="0"/>
        <v>414</v>
      </c>
      <c r="B15">
        <f t="shared" si="1"/>
        <v>1133.174</v>
      </c>
      <c r="C15">
        <f t="shared" si="1"/>
        <v>485.238</v>
      </c>
    </row>
    <row r="16" spans="1:13">
      <c r="A16">
        <f t="shared" si="0"/>
        <v>211</v>
      </c>
      <c r="B16">
        <f t="shared" si="1"/>
        <v>1491.5170000000001</v>
      </c>
      <c r="C16">
        <f t="shared" si="1"/>
        <v>580.577</v>
      </c>
    </row>
    <row r="17" spans="1:5">
      <c r="A17">
        <f t="shared" si="0"/>
        <v>193</v>
      </c>
      <c r="B17">
        <f t="shared" si="1"/>
        <v>1004.85</v>
      </c>
      <c r="C17">
        <f t="shared" si="1"/>
        <v>481.79700000000003</v>
      </c>
    </row>
    <row r="18" spans="1:5">
      <c r="A18">
        <f t="shared" si="0"/>
        <v>9</v>
      </c>
      <c r="B18">
        <f t="shared" si="1"/>
        <v>11.222</v>
      </c>
      <c r="C18">
        <f t="shared" si="1"/>
        <v>4.4909999999999997</v>
      </c>
    </row>
    <row r="19" spans="1:5">
      <c r="A19">
        <f t="shared" si="0"/>
        <v>0</v>
      </c>
      <c r="B19">
        <f t="shared" si="1"/>
        <v>0</v>
      </c>
      <c r="C19">
        <f t="shared" si="1"/>
        <v>0</v>
      </c>
    </row>
    <row r="20" spans="1:5">
      <c r="A20">
        <f t="shared" si="0"/>
        <v>0</v>
      </c>
      <c r="B20">
        <f t="shared" si="1"/>
        <v>0</v>
      </c>
      <c r="C20">
        <f t="shared" si="1"/>
        <v>0</v>
      </c>
    </row>
    <row r="21" spans="1:5">
      <c r="A21">
        <f t="shared" si="0"/>
        <v>1</v>
      </c>
      <c r="B21">
        <f t="shared" si="1"/>
        <v>12</v>
      </c>
      <c r="C21">
        <f t="shared" si="1"/>
        <v>0</v>
      </c>
    </row>
    <row r="22" spans="1:5">
      <c r="E22">
        <f>(A14-1)*POWER(C14,2)</f>
        <v>48427129.415474996</v>
      </c>
    </row>
    <row r="23" spans="1:5">
      <c r="B23">
        <f t="shared" ref="B23:B30" si="2">A14*B14</f>
        <v>87189.036000000007</v>
      </c>
      <c r="E23">
        <f>(A15-1)*POWER(C15,2)</f>
        <v>97243293.573972002</v>
      </c>
    </row>
    <row r="24" spans="1:5">
      <c r="B24">
        <f t="shared" si="2"/>
        <v>469134.03599999996</v>
      </c>
      <c r="E24">
        <f>(A16-1)*POWER(C16,2)</f>
        <v>70784627.115089998</v>
      </c>
    </row>
    <row r="25" spans="1:5">
      <c r="B25">
        <f t="shared" si="2"/>
        <v>314710.087</v>
      </c>
      <c r="E25">
        <f>(A17-1)*POWER(C17,2)</f>
        <v>44568643.048128009</v>
      </c>
    </row>
    <row r="26" spans="1:5">
      <c r="B26">
        <f t="shared" si="2"/>
        <v>193936.05000000002</v>
      </c>
      <c r="E26">
        <f>(A18-1)*POWER(C18,2)</f>
        <v>161.35264799999999</v>
      </c>
    </row>
    <row r="27" spans="1:5">
      <c r="B27">
        <f t="shared" si="2"/>
        <v>100.99799999999999</v>
      </c>
      <c r="E27">
        <f>(A19-1)*POWER(C19,2)</f>
        <v>0</v>
      </c>
    </row>
    <row r="28" spans="1:5">
      <c r="B28">
        <f t="shared" si="2"/>
        <v>0</v>
      </c>
      <c r="E28">
        <f>(A20-1)*POWER(C20,2)</f>
        <v>0</v>
      </c>
    </row>
    <row r="29" spans="1:5">
      <c r="B29">
        <f t="shared" si="2"/>
        <v>0</v>
      </c>
      <c r="E29">
        <f>(A21-1)*POWER(C21,2)</f>
        <v>0</v>
      </c>
    </row>
    <row r="30" spans="1:5">
      <c r="B30">
        <f t="shared" si="2"/>
        <v>12</v>
      </c>
      <c r="E30">
        <f>SUM(E22:E29)</f>
        <v>261023854.50531301</v>
      </c>
    </row>
    <row r="31" spans="1:5">
      <c r="B31">
        <f>SUM(B23:B30)</f>
        <v>1065082.2069999999</v>
      </c>
    </row>
    <row r="32" spans="1:5">
      <c r="B32">
        <f>SUM(A14:A21)</f>
        <v>1000</v>
      </c>
      <c r="E32">
        <f>A14*POWER(B14-B$33,2)</f>
        <v>53587092.546597503</v>
      </c>
    </row>
    <row r="33" spans="2:5">
      <c r="B33">
        <f>B31/B32</f>
        <v>1065.0822069999999</v>
      </c>
      <c r="E33">
        <f>A15*POWER(B15-B$33,2)</f>
        <v>1919507.8014173105</v>
      </c>
    </row>
    <row r="34" spans="2:5">
      <c r="B34">
        <f>ROUND(B33,2)</f>
        <v>1065.08</v>
      </c>
      <c r="E34">
        <f>A16*POWER(B16-B$33,2)</f>
        <v>38369639.495681077</v>
      </c>
    </row>
    <row r="35" spans="2:5">
      <c r="E35">
        <f>A17*POWER(B17-B$33,2)</f>
        <v>700188.32069753157</v>
      </c>
    </row>
    <row r="36" spans="2:5">
      <c r="B36">
        <f t="shared" ref="B36:B43" si="3">POWER(C14,2)</f>
        <v>283199.58722499997</v>
      </c>
      <c r="E36">
        <f>A18*POWER(B18-B$33,2)</f>
        <v>9995592.0230827443</v>
      </c>
    </row>
    <row r="37" spans="2:5">
      <c r="B37">
        <f t="shared" si="3"/>
        <v>235455.91664400001</v>
      </c>
      <c r="E37">
        <f>A19*POWER(B19-B$33,2)</f>
        <v>0</v>
      </c>
    </row>
    <row r="38" spans="2:5">
      <c r="B38">
        <f t="shared" si="3"/>
        <v>337069.65292899997</v>
      </c>
      <c r="E38">
        <f>A20*POWER(B20-B$33,2)</f>
        <v>0</v>
      </c>
    </row>
    <row r="39" spans="2:5">
      <c r="B39">
        <f t="shared" si="3"/>
        <v>232128.34920900004</v>
      </c>
      <c r="E39">
        <f>A21*POWER(B21-B$33,2)</f>
        <v>1108982.1346999907</v>
      </c>
    </row>
    <row r="40" spans="2:5">
      <c r="B40">
        <f t="shared" si="3"/>
        <v>20.169080999999998</v>
      </c>
      <c r="E40">
        <f>SUM(E32:E39)</f>
        <v>105681002.32217616</v>
      </c>
    </row>
    <row r="41" spans="2:5">
      <c r="B41">
        <f t="shared" si="3"/>
        <v>0</v>
      </c>
    </row>
    <row r="42" spans="2:5">
      <c r="B42">
        <f t="shared" si="3"/>
        <v>0</v>
      </c>
      <c r="E42">
        <f>SQRT((E30+E40)/(B32-1))</f>
        <v>605.86461256310838</v>
      </c>
    </row>
    <row r="43" spans="2:5">
      <c r="B43">
        <f t="shared" si="3"/>
        <v>0</v>
      </c>
      <c r="E43">
        <f>ROUND(E42,2)</f>
        <v>605.86</v>
      </c>
    </row>
    <row r="44" spans="2:5">
      <c r="B44">
        <f t="shared" ref="B44:B51" si="4">POWER(B14,2)</f>
        <v>256960.78956900002</v>
      </c>
    </row>
    <row r="45" spans="2:5">
      <c r="B45">
        <f t="shared" si="4"/>
        <v>1284083.314276</v>
      </c>
      <c r="E45">
        <f>2*E42</f>
        <v>1211.7292251262168</v>
      </c>
    </row>
    <row r="46" spans="2:5">
      <c r="B46">
        <f t="shared" si="4"/>
        <v>2224622.9612890002</v>
      </c>
      <c r="E46">
        <f>ROUND(E45,2)</f>
        <v>1211.73</v>
      </c>
    </row>
    <row r="47" spans="2:5">
      <c r="B47">
        <f t="shared" si="4"/>
        <v>1009723.5225000001</v>
      </c>
    </row>
    <row r="48" spans="2:5">
      <c r="B48">
        <f t="shared" si="4"/>
        <v>125.93328399999999</v>
      </c>
    </row>
    <row r="49" spans="2:2">
      <c r="B49">
        <f t="shared" si="4"/>
        <v>0</v>
      </c>
    </row>
    <row r="50" spans="2:2">
      <c r="B50">
        <f t="shared" si="4"/>
        <v>0</v>
      </c>
    </row>
    <row r="51" spans="2:2">
      <c r="B51">
        <f t="shared" si="4"/>
        <v>144</v>
      </c>
    </row>
    <row r="52" spans="2:2">
      <c r="B52">
        <f t="shared" ref="B52:B59" si="5">B36+B44</f>
        <v>540160.37679399992</v>
      </c>
    </row>
    <row r="53" spans="2:2">
      <c r="B53">
        <f t="shared" si="5"/>
        <v>1519539.23092</v>
      </c>
    </row>
    <row r="54" spans="2:2">
      <c r="B54">
        <f t="shared" si="5"/>
        <v>2561692.6142180003</v>
      </c>
    </row>
    <row r="55" spans="2:2">
      <c r="B55">
        <f t="shared" si="5"/>
        <v>1241851.8717090001</v>
      </c>
    </row>
    <row r="56" spans="2:2">
      <c r="B56">
        <f t="shared" si="5"/>
        <v>146.10236499999999</v>
      </c>
    </row>
    <row r="57" spans="2:2">
      <c r="B57">
        <f t="shared" si="5"/>
        <v>0</v>
      </c>
    </row>
    <row r="58" spans="2:2">
      <c r="B58">
        <f t="shared" si="5"/>
        <v>0</v>
      </c>
    </row>
    <row r="59" spans="2:2">
      <c r="B59">
        <f t="shared" si="5"/>
        <v>144</v>
      </c>
    </row>
    <row r="60" spans="2:2">
      <c r="B60">
        <f t="shared" ref="B60:B67" si="6">A14*B52</f>
        <v>92907584.808567986</v>
      </c>
    </row>
    <row r="61" spans="2:2">
      <c r="B61">
        <f t="shared" si="6"/>
        <v>629089241.60088003</v>
      </c>
    </row>
    <row r="62" spans="2:2">
      <c r="B62">
        <f t="shared" si="6"/>
        <v>540517141.59999812</v>
      </c>
    </row>
    <row r="63" spans="2:2">
      <c r="B63">
        <f t="shared" si="6"/>
        <v>239677411.23983702</v>
      </c>
    </row>
    <row r="64" spans="2:2">
      <c r="B64">
        <f t="shared" si="6"/>
        <v>1314.9212849999999</v>
      </c>
    </row>
    <row r="65" spans="2:2">
      <c r="B65">
        <f t="shared" si="6"/>
        <v>0</v>
      </c>
    </row>
    <row r="66" spans="2:2">
      <c r="B66">
        <f t="shared" si="6"/>
        <v>0</v>
      </c>
    </row>
    <row r="67" spans="2:2">
      <c r="B67">
        <f t="shared" si="6"/>
        <v>144</v>
      </c>
    </row>
    <row r="68" spans="2:2">
      <c r="B68">
        <f>SUM(B60:B67)</f>
        <v>1502192838.170568</v>
      </c>
    </row>
    <row r="69" spans="2:2">
      <c r="B69">
        <f>B68/B32</f>
        <v>1502192.838170568</v>
      </c>
    </row>
    <row r="72" spans="2:2">
      <c r="B72">
        <f>B69-POWER(B33,2)</f>
        <v>367792.73050257727</v>
      </c>
    </row>
    <row r="74" spans="2:2">
      <c r="B74">
        <f>SQRT(LN(1+B72/POWER(B33,2)))</f>
        <v>0.52992637317868596</v>
      </c>
    </row>
    <row r="77" spans="2:2">
      <c r="B77">
        <f>LN(B33)-POWER(B74,2)/2</f>
        <v>6.8303962843407593</v>
      </c>
    </row>
    <row r="80" spans="2:2">
      <c r="B80">
        <f>EXP(B77+1.64485*B74)</f>
        <v>2212.8701874851308</v>
      </c>
    </row>
    <row r="81" spans="2:2">
      <c r="B81">
        <f>ROUND(B80,2)</f>
        <v>2212.87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pessimistic-lock-1000-ngrinder-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2026-03-29T18:49:35Z</dcterms:created>
  <dcterms:modified xsi:type="dcterms:W3CDTF">2026-03-31T08:16:45Z</dcterms:modified>
</cp:coreProperties>
</file>