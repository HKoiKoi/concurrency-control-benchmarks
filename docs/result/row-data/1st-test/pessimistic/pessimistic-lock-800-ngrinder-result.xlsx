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angja/Projects/concurrency-control-benchmarks/docs/result/row-data/1st-test/pessimistic/"/>
    </mc:Choice>
  </mc:AlternateContent>
  <xr:revisionPtr revIDLastSave="0" documentId="13_ncr:1_{0460E2D5-F03C-EE42-8666-6A5A32D0EDC0}" xr6:coauthVersionLast="47" xr6:coauthVersionMax="47" xr10:uidLastSave="{00000000-0000-0000-0000-000000000000}"/>
  <bookViews>
    <workbookView xWindow="0" yWindow="660" windowWidth="14700" windowHeight="18460" xr2:uid="{D8932C19-433D-644E-8B32-25046DBD08D8}"/>
  </bookViews>
  <sheets>
    <sheet name="pessimistic-lock-800-ngrinder-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1" i="1" l="1"/>
  <c r="E30" i="1"/>
  <c r="E28" i="1"/>
  <c r="E18" i="1"/>
  <c r="E17" i="1"/>
  <c r="E16" i="1"/>
  <c r="E15" i="1"/>
  <c r="E25" i="1"/>
  <c r="E24" i="1"/>
  <c r="E23" i="1"/>
  <c r="E22" i="1"/>
  <c r="E21" i="1"/>
  <c r="B31" i="1"/>
  <c r="B30" i="1"/>
  <c r="B29" i="1"/>
  <c r="B33" i="1" s="1"/>
  <c r="B37" i="1" s="1"/>
  <c r="B28" i="1"/>
  <c r="B32" i="1" s="1"/>
  <c r="B36" i="1" s="1"/>
  <c r="B27" i="1"/>
  <c r="B35" i="1" s="1"/>
  <c r="B39" i="1" s="1"/>
  <c r="B26" i="1"/>
  <c r="B34" i="1" s="1"/>
  <c r="B38" i="1" s="1"/>
  <c r="B25" i="1"/>
  <c r="B24" i="1"/>
  <c r="B20" i="1"/>
  <c r="B18" i="1"/>
  <c r="B17" i="1"/>
  <c r="B16" i="1"/>
  <c r="B19" i="1" s="1"/>
  <c r="B21" i="1" s="1"/>
  <c r="B15" i="1"/>
  <c r="C13" i="1"/>
  <c r="C12" i="1"/>
  <c r="C11" i="1"/>
  <c r="C10" i="1"/>
  <c r="B13" i="1"/>
  <c r="B12" i="1"/>
  <c r="B11" i="1"/>
  <c r="B10" i="1"/>
  <c r="A13" i="1"/>
  <c r="A12" i="1"/>
  <c r="A11" i="1"/>
  <c r="A10" i="1"/>
  <c r="E19" i="1" l="1"/>
  <c r="E27" i="1" s="1"/>
  <c r="B40" i="1"/>
  <c r="B41" i="1" s="1"/>
  <c r="B44" i="1" s="1"/>
  <c r="B46" i="1" s="1"/>
  <c r="B22" i="1"/>
  <c r="B49" i="1"/>
  <c r="B52" i="1" s="1"/>
  <c r="B53" i="1" s="1"/>
</calcChain>
</file>

<file path=xl/sharedStrings.xml><?xml version="1.0" encoding="utf-8"?>
<sst xmlns="http://schemas.openxmlformats.org/spreadsheetml/2006/main" count="13" uniqueCount="13">
  <si>
    <t>DateTime</t>
  </si>
  <si>
    <t>vuser</t>
  </si>
  <si>
    <t>Tests</t>
  </si>
  <si>
    <t>Errors</t>
  </si>
  <si>
    <t>Mean_Test_Time_(ms)</t>
  </si>
  <si>
    <t>Test_Time_Standard_Deviation_(ms)</t>
  </si>
  <si>
    <t>TPS</t>
  </si>
  <si>
    <t>Mean_response_length</t>
  </si>
  <si>
    <t>Response_bytes_per_second</t>
  </si>
  <si>
    <t>Response_errors</t>
  </si>
  <si>
    <t>Mean_time_to_resolve_host</t>
  </si>
  <si>
    <t>Mean_time_to_establish_connection</t>
  </si>
  <si>
    <t>Mean_time_to_first_byte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</si>
</sst>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/d\ h:mm:ss"/>
  </numFmts>
  <fonts count="19">
    <font>
      <sz val="12"/>
      <color theme="1"/>
      <name val="맑은 고딕"/>
      <family val="2"/>
      <charset val="129"/>
      <scheme val="minor"/>
    </font>
    <font>
      <sz val="12"/>
      <color theme="1"/>
      <name val="맑은 고딕"/>
      <family val="2"/>
      <charset val="129"/>
      <scheme val="minor"/>
    </font>
    <font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2"/>
      <color rgb="FF006100"/>
      <name val="맑은 고딕"/>
      <family val="2"/>
      <charset val="129"/>
      <scheme val="minor"/>
    </font>
    <font>
      <sz val="12"/>
      <color rgb="FF9C0006"/>
      <name val="맑은 고딕"/>
      <family val="2"/>
      <charset val="129"/>
      <scheme val="minor"/>
    </font>
    <font>
      <sz val="12"/>
      <color rgb="FF9C5700"/>
      <name val="맑은 고딕"/>
      <family val="2"/>
      <charset val="129"/>
      <scheme val="minor"/>
    </font>
    <font>
      <sz val="12"/>
      <color rgb="FF3F3F76"/>
      <name val="맑은 고딕"/>
      <family val="2"/>
      <charset val="129"/>
      <scheme val="minor"/>
    </font>
    <font>
      <b/>
      <sz val="12"/>
      <color rgb="FF3F3F3F"/>
      <name val="맑은 고딕"/>
      <family val="2"/>
      <charset val="129"/>
      <scheme val="minor"/>
    </font>
    <font>
      <b/>
      <sz val="12"/>
      <color rgb="FFFA7D00"/>
      <name val="맑은 고딕"/>
      <family val="2"/>
      <charset val="129"/>
      <scheme val="minor"/>
    </font>
    <font>
      <sz val="12"/>
      <color rgb="FFFA7D00"/>
      <name val="맑은 고딕"/>
      <family val="2"/>
      <charset val="129"/>
      <scheme val="minor"/>
    </font>
    <font>
      <b/>
      <sz val="12"/>
      <color theme="0"/>
      <name val="맑은 고딕"/>
      <family val="2"/>
      <charset val="129"/>
      <scheme val="minor"/>
    </font>
    <font>
      <sz val="12"/>
      <color rgb="FFFF0000"/>
      <name val="맑은 고딕"/>
      <family val="2"/>
      <charset val="129"/>
      <scheme val="minor"/>
    </font>
    <font>
      <i/>
      <sz val="12"/>
      <color rgb="FF7F7F7F"/>
      <name val="맑은 고딕"/>
      <family val="2"/>
      <charset val="129"/>
      <scheme val="minor"/>
    </font>
    <font>
      <b/>
      <sz val="12"/>
      <color theme="1"/>
      <name val="맑은 고딕"/>
      <family val="2"/>
      <charset val="129"/>
      <scheme val="minor"/>
    </font>
    <font>
      <sz val="12"/>
      <color theme="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176" fontId="0" fillId="0" borderId="0" xfId="0" applyNumberFormat="1">
      <alignment vertical="center"/>
    </xf>
  </cellXfs>
  <cellStyles count="42">
    <cellStyle name="20% - 강조색1" xfId="19" builtinId="30" customBuiltin="1"/>
    <cellStyle name="20% - 강조색2" xfId="23" builtinId="34" customBuiltin="1"/>
    <cellStyle name="20% - 강조색3" xfId="27" builtinId="38" customBuiltin="1"/>
    <cellStyle name="20% - 강조색4" xfId="31" builtinId="42" customBuiltin="1"/>
    <cellStyle name="20% - 강조색5" xfId="35" builtinId="46" customBuiltin="1"/>
    <cellStyle name="20% - 강조색6" xfId="39" builtinId="50" customBuiltin="1"/>
    <cellStyle name="40% - 강조색1" xfId="20" builtinId="31" customBuiltin="1"/>
    <cellStyle name="40% - 강조색2" xfId="24" builtinId="35" customBuiltin="1"/>
    <cellStyle name="40% - 강조색3" xfId="28" builtinId="39" customBuiltin="1"/>
    <cellStyle name="40% - 강조색4" xfId="32" builtinId="43" customBuiltin="1"/>
    <cellStyle name="40% - 강조색5" xfId="36" builtinId="47" customBuiltin="1"/>
    <cellStyle name="40% - 강조색6" xfId="40" builtinId="51" customBuiltin="1"/>
    <cellStyle name="60% - 강조색1" xfId="21" builtinId="32" customBuiltin="1"/>
    <cellStyle name="60% - 강조색2" xfId="25" builtinId="36" customBuiltin="1"/>
    <cellStyle name="60% - 강조색3" xfId="29" builtinId="40" customBuiltin="1"/>
    <cellStyle name="60% - 강조색4" xfId="33" builtinId="44" customBuiltin="1"/>
    <cellStyle name="60% - 강조색5" xfId="37" builtinId="48" customBuiltin="1"/>
    <cellStyle name="60% - 강조색6" xfId="41" builtinId="52" customBuiltin="1"/>
    <cellStyle name="강조색1" xfId="18" builtinId="29" customBuiltin="1"/>
    <cellStyle name="강조색2" xfId="22" builtinId="33" customBuiltin="1"/>
    <cellStyle name="강조색3" xfId="26" builtinId="37" customBuiltin="1"/>
    <cellStyle name="강조색4" xfId="30" builtinId="41" customBuiltin="1"/>
    <cellStyle name="강조색5" xfId="34" builtinId="45" customBuiltin="1"/>
    <cellStyle name="강조색6" xfId="38" builtinId="49" customBuiltin="1"/>
    <cellStyle name="경고문" xfId="14" builtinId="11" customBuiltin="1"/>
    <cellStyle name="계산" xfId="11" builtinId="22" customBuiltin="1"/>
    <cellStyle name="나쁨" xfId="7" builtinId="27" customBuiltin="1"/>
    <cellStyle name="메모" xfId="15" builtinId="10" customBuiltin="1"/>
    <cellStyle name="보통" xfId="8" builtinId="28" customBuiltin="1"/>
    <cellStyle name="설명 텍스트" xfId="16" builtinId="53" customBuiltin="1"/>
    <cellStyle name="셀 확인" xfId="13" builtinId="23" customBuiltin="1"/>
    <cellStyle name="연결된 셀" xfId="12" builtinId="24" customBuiltin="1"/>
    <cellStyle name="요약" xfId="17" builtinId="25" customBuiltin="1"/>
    <cellStyle name="입력" xfId="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6" builtinId="26" customBuiltin="1"/>
    <cellStyle name="출력" xfId="10" builtinId="21" customBuiltin="1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14</xdr:row>
      <xdr:rowOff>0</xdr:rowOff>
    </xdr:from>
    <xdr:ext cx="453907" cy="34599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0EF4945B-381C-DC4A-A4A1-96D89771335D}"/>
                </a:ext>
              </a:extLst>
            </xdr:cNvPr>
            <xdr:cNvSpPr txBox="1"/>
          </xdr:nvSpPr>
          <xdr:spPr>
            <a:xfrm>
              <a:off x="0" y="3886200"/>
              <a:ext cx="453907" cy="3459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⋅</m:t>
                    </m:r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𝜇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</m:oMath>
                </m:oMathPara>
              </a14:m>
              <a:endParaRPr lang="en-US" altLang="ko-KR" sz="1100" b="0"/>
            </a:p>
            <a:p>
              <a:endParaRPr lang="ko-KR" altLang="en-US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0EF4945B-381C-DC4A-A4A1-96D89771335D}"/>
                </a:ext>
              </a:extLst>
            </xdr:cNvPr>
            <xdr:cNvSpPr txBox="1"/>
          </xdr:nvSpPr>
          <xdr:spPr>
            <a:xfrm>
              <a:off x="0" y="3886200"/>
              <a:ext cx="453907" cy="3459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𝑛_𝑖⋅𝜇_𝑖</a:t>
              </a:r>
              <a:endParaRPr lang="en-US" altLang="ko-KR" sz="1100" b="0"/>
            </a:p>
            <a:p>
              <a:endParaRPr lang="ko-KR" altLang="en-US" sz="1100"/>
            </a:p>
          </xdr:txBody>
        </xdr:sp>
      </mc:Fallback>
    </mc:AlternateContent>
    <xdr:clientData/>
  </xdr:oneCellAnchor>
  <xdr:oneCellAnchor>
    <xdr:from>
      <xdr:col>0</xdr:col>
      <xdr:colOff>0</xdr:colOff>
      <xdr:row>18</xdr:row>
      <xdr:rowOff>0</xdr:rowOff>
    </xdr:from>
    <xdr:ext cx="1049454" cy="35900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1AD0FA75-FDE4-A14E-BFE9-E1BA6B5E6B6F}"/>
                </a:ext>
              </a:extLst>
            </xdr:cNvPr>
            <xdr:cNvSpPr txBox="1"/>
          </xdr:nvSpPr>
          <xdr:spPr>
            <a:xfrm>
              <a:off x="0" y="4800600"/>
              <a:ext cx="1049454" cy="35900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Sup>
                      <m:sSubSup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m:rPr>
                            <m:sty m:val="p"/>
                          </m:rPr>
                          <a:rPr lang="en-US" altLang="ko-KR" sz="1100" b="0" i="0">
                            <a:latin typeface="Cambria Math" panose="02040503050406030204" pitchFamily="18" charset="0"/>
                          </a:rPr>
                          <m:t>Σ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𝑖</m:t>
                        </m:r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  <m:sup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𝑘</m:t>
                        </m:r>
                      </m:sup>
                    </m:sSubSup>
                    <m:d>
                      <m:d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𝑛</m:t>
                            </m:r>
                          </m:e>
                          <m:sub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</m:sub>
                        </m:s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⋅</m:t>
                        </m:r>
                        <m:sSub>
                          <m:sSub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𝜇</m:t>
                            </m:r>
                          </m:e>
                          <m:sub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</m:sub>
                        </m:sSub>
                      </m:e>
                    </m:d>
                  </m:oMath>
                </m:oMathPara>
              </a14:m>
              <a:endParaRPr lang="en-US" altLang="ko-KR" sz="1100" b="0"/>
            </a:p>
            <a:p>
              <a:endParaRPr lang="ko-KR" altLang="en-US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1AD0FA75-FDE4-A14E-BFE9-E1BA6B5E6B6F}"/>
                </a:ext>
              </a:extLst>
            </xdr:cNvPr>
            <xdr:cNvSpPr txBox="1"/>
          </xdr:nvSpPr>
          <xdr:spPr>
            <a:xfrm>
              <a:off x="0" y="4800600"/>
              <a:ext cx="1049454" cy="35900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Σ_(𝑖=1)^𝑘 (𝑛_𝑖⋅𝜇_𝑖 )</a:t>
              </a:r>
              <a:endParaRPr lang="en-US" altLang="ko-KR" sz="1100" b="0"/>
            </a:p>
            <a:p>
              <a:endParaRPr lang="ko-KR" altLang="en-US" sz="1100"/>
            </a:p>
          </xdr:txBody>
        </xdr:sp>
      </mc:Fallback>
    </mc:AlternateContent>
    <xdr:clientData/>
  </xdr:oneCellAnchor>
  <xdr:oneCellAnchor>
    <xdr:from>
      <xdr:col>0</xdr:col>
      <xdr:colOff>0</xdr:colOff>
      <xdr:row>19</xdr:row>
      <xdr:rowOff>0</xdr:rowOff>
    </xdr:from>
    <xdr:ext cx="806503" cy="35900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A714DD86-F072-3242-AD74-33CCFF37F667}"/>
                </a:ext>
              </a:extLst>
            </xdr:cNvPr>
            <xdr:cNvSpPr txBox="1"/>
          </xdr:nvSpPr>
          <xdr:spPr>
            <a:xfrm>
              <a:off x="0" y="5029200"/>
              <a:ext cx="806503" cy="35900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Sup>
                      <m:sSubSup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m:rPr>
                            <m:sty m:val="p"/>
                          </m:rPr>
                          <a:rPr lang="en-US" altLang="ko-KR" sz="1100" b="0" i="0">
                            <a:latin typeface="Cambria Math" panose="02040503050406030204" pitchFamily="18" charset="0"/>
                          </a:rPr>
                          <m:t>Σ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𝑖</m:t>
                        </m:r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  <m:sup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𝑘</m:t>
                        </m:r>
                      </m:sup>
                    </m:sSubSup>
                    <m:d>
                      <m:d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𝑛</m:t>
                            </m:r>
                          </m:e>
                          <m:sub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</m:sub>
                        </m:sSub>
                      </m:e>
                    </m:d>
                  </m:oMath>
                </m:oMathPara>
              </a14:m>
              <a:endParaRPr lang="en-US" altLang="ko-KR" sz="1100" b="0"/>
            </a:p>
            <a:p>
              <a:endParaRPr lang="ko-KR" altLang="en-US" sz="1100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A714DD86-F072-3242-AD74-33CCFF37F667}"/>
                </a:ext>
              </a:extLst>
            </xdr:cNvPr>
            <xdr:cNvSpPr txBox="1"/>
          </xdr:nvSpPr>
          <xdr:spPr>
            <a:xfrm>
              <a:off x="0" y="5029200"/>
              <a:ext cx="806503" cy="35900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Σ_(𝑖=1)^𝑘 (𝑛_𝑖 )</a:t>
              </a:r>
              <a:endParaRPr lang="en-US" altLang="ko-KR" sz="1100" b="0"/>
            </a:p>
            <a:p>
              <a:endParaRPr lang="ko-KR" altLang="en-US" sz="1100"/>
            </a:p>
          </xdr:txBody>
        </xdr:sp>
      </mc:Fallback>
    </mc:AlternateContent>
    <xdr:clientData/>
  </xdr:oneCellAnchor>
  <xdr:oneCellAnchor>
    <xdr:from>
      <xdr:col>0</xdr:col>
      <xdr:colOff>1</xdr:colOff>
      <xdr:row>8</xdr:row>
      <xdr:rowOff>0</xdr:rowOff>
    </xdr:from>
    <xdr:ext cx="254000" cy="3458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1DCE5DD4-CCE1-A34D-BA50-9F4C1C549189}"/>
                </a:ext>
              </a:extLst>
            </xdr:cNvPr>
            <xdr:cNvSpPr txBox="1"/>
          </xdr:nvSpPr>
          <xdr:spPr>
            <a:xfrm>
              <a:off x="1" y="2057400"/>
              <a:ext cx="254000" cy="3458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</m:oMath>
                </m:oMathPara>
              </a14:m>
              <a:endParaRPr lang="en-US" altLang="ko-KR" sz="1100" b="0"/>
            </a:p>
            <a:p>
              <a:endParaRPr lang="ko-KR" altLang="en-US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1DCE5DD4-CCE1-A34D-BA50-9F4C1C549189}"/>
                </a:ext>
              </a:extLst>
            </xdr:cNvPr>
            <xdr:cNvSpPr txBox="1"/>
          </xdr:nvSpPr>
          <xdr:spPr>
            <a:xfrm>
              <a:off x="1" y="2057400"/>
              <a:ext cx="254000" cy="3458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𝑛_𝑖</a:t>
              </a:r>
              <a:endParaRPr lang="en-US" altLang="ko-KR" sz="1100" b="0"/>
            </a:p>
            <a:p>
              <a:endParaRPr lang="ko-KR" altLang="en-US" sz="1100"/>
            </a:p>
          </xdr:txBody>
        </xdr:sp>
      </mc:Fallback>
    </mc:AlternateContent>
    <xdr:clientData/>
  </xdr:oneCellAnchor>
  <xdr:oneCellAnchor>
    <xdr:from>
      <xdr:col>1</xdr:col>
      <xdr:colOff>0</xdr:colOff>
      <xdr:row>8</xdr:row>
      <xdr:rowOff>0</xdr:rowOff>
    </xdr:from>
    <xdr:ext cx="254000" cy="3458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264CB428-F584-DC4F-9D6A-E81A2CCC58D3}"/>
                </a:ext>
              </a:extLst>
            </xdr:cNvPr>
            <xdr:cNvSpPr txBox="1"/>
          </xdr:nvSpPr>
          <xdr:spPr>
            <a:xfrm>
              <a:off x="1549400" y="2057400"/>
              <a:ext cx="254000" cy="3458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𝜇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</m:oMath>
                </m:oMathPara>
              </a14:m>
              <a:endParaRPr lang="en-US" altLang="ko-KR" sz="1100" b="0"/>
            </a:p>
            <a:p>
              <a:endParaRPr lang="ko-KR" altLang="en-US" sz="11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264CB428-F584-DC4F-9D6A-E81A2CCC58D3}"/>
                </a:ext>
              </a:extLst>
            </xdr:cNvPr>
            <xdr:cNvSpPr txBox="1"/>
          </xdr:nvSpPr>
          <xdr:spPr>
            <a:xfrm>
              <a:off x="1549400" y="2057400"/>
              <a:ext cx="254000" cy="3458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𝜇_𝑖</a:t>
              </a:r>
              <a:endParaRPr lang="en-US" altLang="ko-KR" sz="1100" b="0"/>
            </a:p>
            <a:p>
              <a:endParaRPr lang="ko-KR" alt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8</xdr:row>
      <xdr:rowOff>0</xdr:rowOff>
    </xdr:from>
    <xdr:ext cx="177800" cy="3458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37C499A7-1361-B148-AA39-0418B26D500C}"/>
                </a:ext>
              </a:extLst>
            </xdr:cNvPr>
            <xdr:cNvSpPr txBox="1"/>
          </xdr:nvSpPr>
          <xdr:spPr>
            <a:xfrm>
              <a:off x="2057400" y="2057400"/>
              <a:ext cx="177800" cy="3458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𝜎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</m:oMath>
                </m:oMathPara>
              </a14:m>
              <a:endParaRPr lang="en-US" altLang="ko-KR" sz="1100" b="0"/>
            </a:p>
            <a:p>
              <a:endParaRPr lang="ko-KR" altLang="en-US" sz="1100"/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37C499A7-1361-B148-AA39-0418B26D500C}"/>
                </a:ext>
              </a:extLst>
            </xdr:cNvPr>
            <xdr:cNvSpPr txBox="1"/>
          </xdr:nvSpPr>
          <xdr:spPr>
            <a:xfrm>
              <a:off x="2057400" y="2057400"/>
              <a:ext cx="177800" cy="3458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𝜎_𝑖</a:t>
              </a:r>
              <a:endParaRPr lang="en-US" altLang="ko-KR" sz="1100" b="0"/>
            </a:p>
            <a:p>
              <a:endParaRPr lang="ko-KR" altLang="en-US" sz="1100"/>
            </a:p>
          </xdr:txBody>
        </xdr:sp>
      </mc:Fallback>
    </mc:AlternateContent>
    <xdr:clientData/>
  </xdr:oneCellAnchor>
  <xdr:oneCellAnchor>
    <xdr:from>
      <xdr:col>0</xdr:col>
      <xdr:colOff>0</xdr:colOff>
      <xdr:row>19</xdr:row>
      <xdr:rowOff>226785</xdr:rowOff>
    </xdr:from>
    <xdr:ext cx="1303947" cy="49892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8975FCD6-A257-1E44-8E9D-388744C9CF86}"/>
                </a:ext>
              </a:extLst>
            </xdr:cNvPr>
            <xdr:cNvSpPr txBox="1"/>
          </xdr:nvSpPr>
          <xdr:spPr>
            <a:xfrm>
              <a:off x="0" y="5255985"/>
              <a:ext cx="1303947" cy="49892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𝜇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𝑡𝑜𝑡𝑎𝑙</m:t>
                        </m:r>
                      </m:sub>
                    </m:sSub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Sup>
                          <m:sSubSup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m:rPr>
                                <m:sty m:val="p"/>
                              </m:rPr>
                              <a:rPr lang="en-US" altLang="ko-KR" sz="1100" b="0" i="0">
                                <a:latin typeface="Cambria Math" panose="02040503050406030204" pitchFamily="18" charset="0"/>
                              </a:rPr>
                              <m:t>Σ</m:t>
                            </m:r>
                          </m:e>
                          <m:sub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  <m:sup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𝑘</m:t>
                            </m:r>
                          </m:sup>
                        </m:sSubSup>
                        <m:d>
                          <m:d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𝑛</m:t>
                                </m:r>
                              </m:e>
                              <m:sub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𝑖</m:t>
                                </m:r>
                              </m:sub>
                            </m:sSub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⋅</m:t>
                            </m:r>
                            <m:sSub>
                              <m:sSubPr>
                                <m:ctrl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𝜇</m:t>
                                </m:r>
                              </m:e>
                              <m:sub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𝑖</m:t>
                                </m:r>
                              </m:sub>
                            </m:sSub>
                          </m:e>
                        </m:d>
                      </m:num>
                      <m:den>
                        <m:sSubSup>
                          <m:sSubSup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m:rPr>
                                <m:sty m:val="p"/>
                              </m:rPr>
                              <a:rPr lang="en-US" altLang="ko-KR" sz="1100" b="0" i="0">
                                <a:latin typeface="Cambria Math" panose="02040503050406030204" pitchFamily="18" charset="0"/>
                              </a:rPr>
                              <m:t>Σ</m:t>
                            </m:r>
                          </m:e>
                          <m:sub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  <m:sup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𝑘</m:t>
                            </m:r>
                          </m:sup>
                        </m:sSubSup>
                        <m:d>
                          <m:d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𝑛</m:t>
                                </m:r>
                              </m:e>
                              <m:sub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𝑖</m:t>
                                </m:r>
                              </m:sub>
                            </m:sSub>
                          </m:e>
                        </m:d>
                      </m:den>
                    </m:f>
                  </m:oMath>
                </m:oMathPara>
              </a14:m>
              <a:endParaRPr lang="en-US" altLang="ko-KR" sz="1100" b="0"/>
            </a:p>
            <a:p>
              <a:endParaRPr lang="en-US" altLang="ko-KR" sz="1100"/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8975FCD6-A257-1E44-8E9D-388744C9CF86}"/>
                </a:ext>
              </a:extLst>
            </xdr:cNvPr>
            <xdr:cNvSpPr txBox="1"/>
          </xdr:nvSpPr>
          <xdr:spPr>
            <a:xfrm>
              <a:off x="0" y="5255985"/>
              <a:ext cx="1303947" cy="49892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𝜇_𝑡𝑜𝑡𝑎𝑙=(Σ_(𝑖=1)^𝑘 (𝑛_𝑖⋅𝜇_𝑖 ))/(Σ_(𝑖=1)^𝑘 (𝑛_𝑖 ) )</a:t>
              </a:r>
              <a:endParaRPr lang="en-US" altLang="ko-KR" sz="1100" b="0"/>
            </a:p>
            <a:p>
              <a:endParaRPr lang="en-US" altLang="ko-KR" sz="1100"/>
            </a:p>
          </xdr:txBody>
        </xdr:sp>
      </mc:Fallback>
    </mc:AlternateContent>
    <xdr:clientData/>
  </xdr:oneCellAnchor>
  <xdr:oneCellAnchor>
    <xdr:from>
      <xdr:col>0</xdr:col>
      <xdr:colOff>0</xdr:colOff>
      <xdr:row>23</xdr:row>
      <xdr:rowOff>0</xdr:rowOff>
    </xdr:from>
    <xdr:ext cx="241300" cy="52700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1C10F748-883B-EA45-BBA0-579C74ADA66C}"/>
                </a:ext>
              </a:extLst>
            </xdr:cNvPr>
            <xdr:cNvSpPr txBox="1"/>
          </xdr:nvSpPr>
          <xdr:spPr>
            <a:xfrm>
              <a:off x="0" y="5486400"/>
              <a:ext cx="241300" cy="52700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Sup>
                      <m:sSubSup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𝜎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  <m:sup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bSup>
                  </m:oMath>
                </m:oMathPara>
              </a14:m>
              <a:endParaRPr lang="en-US" altLang="ko-KR" sz="1100" b="0"/>
            </a:p>
            <a:p>
              <a:endParaRPr lang="en-US" altLang="ko-KR" sz="1100" b="0"/>
            </a:p>
            <a:p>
              <a:endParaRPr lang="ko-KR" altLang="en-US" sz="1100"/>
            </a:p>
          </xdr:txBody>
        </xdr:sp>
      </mc:Choice>
      <mc:Fallback xmlns="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1C10F748-883B-EA45-BBA0-579C74ADA66C}"/>
                </a:ext>
              </a:extLst>
            </xdr:cNvPr>
            <xdr:cNvSpPr txBox="1"/>
          </xdr:nvSpPr>
          <xdr:spPr>
            <a:xfrm>
              <a:off x="0" y="5486400"/>
              <a:ext cx="241300" cy="52700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𝜎_𝑖^2</a:t>
              </a:r>
              <a:endParaRPr lang="en-US" altLang="ko-KR" sz="1100" b="0"/>
            </a:p>
            <a:p>
              <a:endParaRPr lang="en-US" altLang="ko-KR" sz="1100" b="0"/>
            </a:p>
            <a:p>
              <a:endParaRPr lang="ko-KR" altLang="en-US" sz="1100"/>
            </a:p>
          </xdr:txBody>
        </xdr:sp>
      </mc:Fallback>
    </mc:AlternateContent>
    <xdr:clientData/>
  </xdr:oneCellAnchor>
  <xdr:oneCellAnchor>
    <xdr:from>
      <xdr:col>0</xdr:col>
      <xdr:colOff>0</xdr:colOff>
      <xdr:row>26</xdr:row>
      <xdr:rowOff>226785</xdr:rowOff>
    </xdr:from>
    <xdr:ext cx="253787" cy="52732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CB64B9FE-A776-0A41-B0F2-D74F0E59511D}"/>
                </a:ext>
              </a:extLst>
            </xdr:cNvPr>
            <xdr:cNvSpPr txBox="1"/>
          </xdr:nvSpPr>
          <xdr:spPr>
            <a:xfrm>
              <a:off x="0" y="6856185"/>
              <a:ext cx="253787" cy="52732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Sup>
                      <m:sSubSup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𝜇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  <m:sup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bSup>
                  </m:oMath>
                </m:oMathPara>
              </a14:m>
              <a:endParaRPr lang="en-US" altLang="ko-KR" sz="1100" b="0"/>
            </a:p>
            <a:p>
              <a:endParaRPr lang="en-US" altLang="ko-KR" sz="1100" b="0"/>
            </a:p>
            <a:p>
              <a:endParaRPr lang="ko-KR" altLang="en-US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CB64B9FE-A776-0A41-B0F2-D74F0E59511D}"/>
                </a:ext>
              </a:extLst>
            </xdr:cNvPr>
            <xdr:cNvSpPr txBox="1"/>
          </xdr:nvSpPr>
          <xdr:spPr>
            <a:xfrm>
              <a:off x="0" y="6856185"/>
              <a:ext cx="253787" cy="52732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𝜇_𝑖^2</a:t>
              </a:r>
              <a:endParaRPr lang="en-US" altLang="ko-KR" sz="1100" b="0"/>
            </a:p>
            <a:p>
              <a:endParaRPr lang="en-US" altLang="ko-KR" sz="1100" b="0"/>
            </a:p>
            <a:p>
              <a:endParaRPr lang="ko-KR" altLang="en-US" sz="1100"/>
            </a:p>
          </xdr:txBody>
        </xdr:sp>
      </mc:Fallback>
    </mc:AlternateContent>
    <xdr:clientData/>
  </xdr:oneCellAnchor>
  <xdr:oneCellAnchor>
    <xdr:from>
      <xdr:col>0</xdr:col>
      <xdr:colOff>0</xdr:colOff>
      <xdr:row>31</xdr:row>
      <xdr:rowOff>0</xdr:rowOff>
    </xdr:from>
    <xdr:ext cx="1056379" cy="28121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01979BEE-4D64-474F-92C8-70C7FACA9F8D}"/>
                </a:ext>
              </a:extLst>
            </xdr:cNvPr>
            <xdr:cNvSpPr txBox="1"/>
          </xdr:nvSpPr>
          <xdr:spPr>
            <a:xfrm>
              <a:off x="0" y="7772400"/>
              <a:ext cx="1056379" cy="28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𝐸</m:t>
                    </m:r>
                    <m:d>
                      <m:dPr>
                        <m:begChr m:val="["/>
                        <m:endChr m:val="]"/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Sup>
                          <m:sSubSup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𝑋</m:t>
                            </m:r>
                          </m:e>
                          <m:sub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</m:sub>
                          <m:sup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bSup>
                      </m:e>
                    </m:d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=</m:t>
                    </m:r>
                    <m:sSubSup>
                      <m:sSubSup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𝜎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  <m:sup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bSup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+</m:t>
                    </m:r>
                    <m:sSubSup>
                      <m:sSubSup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𝜇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  <m:sup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bSup>
                  </m:oMath>
                </m:oMathPara>
              </a14:m>
              <a:endParaRPr lang="en-US" altLang="ko-KR" sz="1100" b="0"/>
            </a:p>
            <a:p>
              <a:endParaRPr lang="en-US" altLang="ko-KR" sz="1100" b="0"/>
            </a:p>
            <a:p>
              <a:endParaRPr lang="ko-KR" altLang="en-US" sz="1100"/>
            </a:p>
            <a:p>
              <a:endParaRPr lang="en-US" altLang="ko-KR" sz="1100" b="0"/>
            </a:p>
            <a:p>
              <a:endParaRPr lang="en-US" altLang="ko-KR" sz="1100" b="0"/>
            </a:p>
            <a:p>
              <a:endParaRPr lang="ko-KR" altLang="en-US" sz="1100"/>
            </a:p>
            <a:p>
              <a:endParaRPr lang="en-US" altLang="ko-KR" sz="1100" b="0"/>
            </a:p>
            <a:p>
              <a:endParaRPr lang="ko-KR" altLang="en-US" sz="1100"/>
            </a:p>
          </xdr:txBody>
        </xdr:sp>
      </mc:Choice>
      <mc:Fallback xmlns="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01979BEE-4D64-474F-92C8-70C7FACA9F8D}"/>
                </a:ext>
              </a:extLst>
            </xdr:cNvPr>
            <xdr:cNvSpPr txBox="1"/>
          </xdr:nvSpPr>
          <xdr:spPr>
            <a:xfrm>
              <a:off x="0" y="7772400"/>
              <a:ext cx="1056379" cy="28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𝐸[𝑋_𝑖^2 ]=𝜎_𝑖^2+𝜇_𝑖^2</a:t>
              </a:r>
              <a:endParaRPr lang="en-US" altLang="ko-KR" sz="1100" b="0"/>
            </a:p>
            <a:p>
              <a:endParaRPr lang="en-US" altLang="ko-KR" sz="1100" b="0"/>
            </a:p>
            <a:p>
              <a:endParaRPr lang="ko-KR" altLang="en-US" sz="1100"/>
            </a:p>
            <a:p>
              <a:endParaRPr lang="en-US" altLang="ko-KR" sz="1100" b="0"/>
            </a:p>
            <a:p>
              <a:endParaRPr lang="en-US" altLang="ko-KR" sz="1100" b="0"/>
            </a:p>
            <a:p>
              <a:endParaRPr lang="ko-KR" altLang="en-US" sz="1100"/>
            </a:p>
            <a:p>
              <a:endParaRPr lang="en-US" altLang="ko-KR" sz="1100" b="0"/>
            </a:p>
            <a:p>
              <a:endParaRPr lang="ko-KR" altLang="en-US" sz="1100"/>
            </a:p>
          </xdr:txBody>
        </xdr:sp>
      </mc:Fallback>
    </mc:AlternateContent>
    <xdr:clientData/>
  </xdr:oneCellAnchor>
  <xdr:oneCellAnchor>
    <xdr:from>
      <xdr:col>0</xdr:col>
      <xdr:colOff>0</xdr:colOff>
      <xdr:row>35</xdr:row>
      <xdr:rowOff>0</xdr:rowOff>
    </xdr:from>
    <xdr:ext cx="726930" cy="26488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5F4D050A-08A2-3649-9F5A-CD79A32EF3AF}"/>
                </a:ext>
              </a:extLst>
            </xdr:cNvPr>
            <xdr:cNvSpPr txBox="1"/>
          </xdr:nvSpPr>
          <xdr:spPr>
            <a:xfrm>
              <a:off x="0" y="8686800"/>
              <a:ext cx="726930" cy="26488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⋅</m:t>
                    </m:r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𝐸</m:t>
                    </m:r>
                    <m:d>
                      <m:dPr>
                        <m:begChr m:val="["/>
                        <m:endChr m:val="]"/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Sup>
                          <m:sSubSup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𝑋</m:t>
                            </m:r>
                          </m:e>
                          <m:sub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</m:sub>
                          <m:sup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bSup>
                      </m:e>
                    </m:d>
                  </m:oMath>
                </m:oMathPara>
              </a14:m>
              <a:endParaRPr lang="en-US" altLang="ko-KR" sz="1100" b="0"/>
            </a:p>
            <a:p>
              <a:endParaRPr lang="en-US" altLang="ko-KR" sz="1100" b="0"/>
            </a:p>
            <a:p>
              <a:endParaRPr lang="ko-KR" altLang="en-US" sz="1100"/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5F4D050A-08A2-3649-9F5A-CD79A32EF3AF}"/>
                </a:ext>
              </a:extLst>
            </xdr:cNvPr>
            <xdr:cNvSpPr txBox="1"/>
          </xdr:nvSpPr>
          <xdr:spPr>
            <a:xfrm>
              <a:off x="0" y="8686800"/>
              <a:ext cx="726930" cy="26488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𝑛_𝑖⋅𝐸[𝑋_𝑖^2 ]</a:t>
              </a:r>
              <a:endParaRPr lang="en-US" altLang="ko-KR" sz="1100" b="0"/>
            </a:p>
            <a:p>
              <a:endParaRPr lang="en-US" altLang="ko-KR" sz="1100" b="0"/>
            </a:p>
            <a:p>
              <a:endParaRPr lang="ko-KR" altLang="en-US" sz="1100"/>
            </a:p>
          </xdr:txBody>
        </xdr:sp>
      </mc:Fallback>
    </mc:AlternateContent>
    <xdr:clientData/>
  </xdr:oneCellAnchor>
  <xdr:oneCellAnchor>
    <xdr:from>
      <xdr:col>0</xdr:col>
      <xdr:colOff>0</xdr:colOff>
      <xdr:row>39</xdr:row>
      <xdr:rowOff>0</xdr:rowOff>
    </xdr:from>
    <xdr:ext cx="1014380" cy="24492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2FD1C230-C93B-064E-AF96-45FE4DDE13FA}"/>
                </a:ext>
              </a:extLst>
            </xdr:cNvPr>
            <xdr:cNvSpPr txBox="1"/>
          </xdr:nvSpPr>
          <xdr:spPr>
            <a:xfrm>
              <a:off x="0" y="9601200"/>
              <a:ext cx="1014380" cy="24492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Sup>
                      <m:sSubSup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m:rPr>
                            <m:sty m:val="p"/>
                          </m:rPr>
                          <a:rPr lang="en-US" altLang="ko-KR" sz="1100" b="0" i="0">
                            <a:latin typeface="Cambria Math" panose="02040503050406030204" pitchFamily="18" charset="0"/>
                          </a:rPr>
                          <m:t>Σ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𝑖</m:t>
                        </m:r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  <m:sup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𝑘</m:t>
                        </m:r>
                      </m:sup>
                    </m:sSubSup>
                    <m:d>
                      <m:d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𝑛</m:t>
                            </m:r>
                          </m:e>
                          <m:sub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</m:sub>
                        </m:s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⋅</m:t>
                        </m:r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𝐸</m:t>
                        </m:r>
                        <m:d>
                          <m:dPr>
                            <m:begChr m:val="["/>
                            <m:endChr m:val="]"/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Sup>
                              <m:sSubSupPr>
                                <m:ctrl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𝑋</m:t>
                                </m:r>
                              </m:e>
                              <m:sub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𝑖</m:t>
                                </m:r>
                              </m:sub>
                              <m:sup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bSup>
                          </m:e>
                        </m:d>
                      </m:e>
                    </m:d>
                  </m:oMath>
                </m:oMathPara>
              </a14:m>
              <a:endParaRPr lang="en-US" altLang="ko-KR" sz="1100" b="0"/>
            </a:p>
            <a:p>
              <a:endParaRPr lang="ko-KR" altLang="en-US" sz="11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2FD1C230-C93B-064E-AF96-45FE4DDE13FA}"/>
                </a:ext>
              </a:extLst>
            </xdr:cNvPr>
            <xdr:cNvSpPr txBox="1"/>
          </xdr:nvSpPr>
          <xdr:spPr>
            <a:xfrm>
              <a:off x="0" y="9601200"/>
              <a:ext cx="1014380" cy="24492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Σ_(𝑖=1)^𝑘 (𝑛_𝑖⋅𝐸[𝑋_𝑖^2 ])</a:t>
              </a:r>
              <a:endParaRPr lang="en-US" altLang="ko-KR" sz="1100" b="0"/>
            </a:p>
            <a:p>
              <a:endParaRPr lang="ko-KR" altLang="en-US" sz="1100"/>
            </a:p>
          </xdr:txBody>
        </xdr:sp>
      </mc:Fallback>
    </mc:AlternateContent>
    <xdr:clientData/>
  </xdr:oneCellAnchor>
  <xdr:oneCellAnchor>
    <xdr:from>
      <xdr:col>0</xdr:col>
      <xdr:colOff>0</xdr:colOff>
      <xdr:row>40</xdr:row>
      <xdr:rowOff>0</xdr:rowOff>
    </xdr:from>
    <xdr:ext cx="1759858" cy="49892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2E5BA950-2D8B-4149-92D2-28BDE1C33EC3}"/>
                </a:ext>
              </a:extLst>
            </xdr:cNvPr>
            <xdr:cNvSpPr txBox="1"/>
          </xdr:nvSpPr>
          <xdr:spPr>
            <a:xfrm>
              <a:off x="0" y="9829800"/>
              <a:ext cx="1759858" cy="49892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𝐸</m:t>
                        </m:r>
                        <m:d>
                          <m:dPr>
                            <m:begChr m:val="["/>
                            <m:endChr m:val="]"/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p>
                              <m:sSupPr>
                                <m:ctrl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𝑋</m:t>
                                </m:r>
                              </m:e>
                              <m:sup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p>
                          </m:e>
                        </m:d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𝑡𝑜𝑡𝑎𝑙</m:t>
                        </m:r>
                      </m:sub>
                    </m:sSub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Sup>
                          <m:sSubSup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m:rPr>
                                <m:sty m:val="p"/>
                              </m:rPr>
                              <a:rPr lang="en-US" altLang="ko-KR" sz="1100" b="0" i="0">
                                <a:latin typeface="Cambria Math" panose="02040503050406030204" pitchFamily="18" charset="0"/>
                              </a:rPr>
                              <m:t>Σ</m:t>
                            </m:r>
                          </m:e>
                          <m:sub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  <m:sup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𝑘</m:t>
                            </m:r>
                          </m:sup>
                        </m:sSubSup>
                        <m:d>
                          <m:d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𝑛</m:t>
                                </m:r>
                              </m:e>
                              <m:sub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𝑖</m:t>
                                </m:r>
                              </m:sub>
                            </m:sSub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⋅</m:t>
                            </m:r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𝐸</m:t>
                            </m:r>
                            <m:d>
                              <m:dPr>
                                <m:begChr m:val="["/>
                                <m:endChr m:val="]"/>
                                <m:ctrl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Sup>
                                  <m:sSubSupPr>
                                    <m:ctrlPr>
                                      <a:rPr lang="en-US" altLang="ko-KR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SupPr>
                                  <m:e>
                                    <m:r>
                                      <a:rPr lang="en-US" altLang="ko-KR" sz="1100" b="0" i="1">
                                        <a:latin typeface="Cambria Math" panose="02040503050406030204" pitchFamily="18" charset="0"/>
                                      </a:rPr>
                                      <m:t>𝑋</m:t>
                                    </m:r>
                                  </m:e>
                                  <m:sub>
                                    <m:r>
                                      <a:rPr lang="en-US" altLang="ko-KR" sz="1100" b="0" i="1">
                                        <a:latin typeface="Cambria Math" panose="02040503050406030204" pitchFamily="18" charset="0"/>
                                      </a:rPr>
                                      <m:t>𝑖</m:t>
                                    </m:r>
                                  </m:sub>
                                  <m:sup>
                                    <m:r>
                                      <a:rPr lang="en-US" altLang="ko-KR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bSup>
                              </m:e>
                            </m:d>
                          </m:e>
                        </m:d>
                      </m:num>
                      <m:den>
                        <m:sSubSup>
                          <m:sSubSup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m:rPr>
                                <m:sty m:val="p"/>
                              </m:rPr>
                              <a:rPr lang="en-US" altLang="ko-KR" sz="1100" b="0" i="0">
                                <a:latin typeface="Cambria Math" panose="02040503050406030204" pitchFamily="18" charset="0"/>
                              </a:rPr>
                              <m:t>Σ</m:t>
                            </m:r>
                          </m:e>
                          <m:sub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  <m:sup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𝑘</m:t>
                            </m:r>
                          </m:sup>
                        </m:sSubSup>
                        <m:d>
                          <m:d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𝑛</m:t>
                                </m:r>
                              </m:e>
                              <m:sub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𝑖</m:t>
                                </m:r>
                              </m:sub>
                            </m:sSub>
                          </m:e>
                        </m:d>
                      </m:den>
                    </m:f>
                  </m:oMath>
                </m:oMathPara>
              </a14:m>
              <a:endParaRPr lang="en-US" altLang="ko-KR" sz="1100" b="0"/>
            </a:p>
            <a:p>
              <a:endParaRPr lang="en-US" altLang="ko-KR" sz="11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2E5BA950-2D8B-4149-92D2-28BDE1C33EC3}"/>
                </a:ext>
              </a:extLst>
            </xdr:cNvPr>
            <xdr:cNvSpPr txBox="1"/>
          </xdr:nvSpPr>
          <xdr:spPr>
            <a:xfrm>
              <a:off x="0" y="9829800"/>
              <a:ext cx="1759858" cy="49892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〖𝐸[𝑋^2 ]〗_𝑡𝑜𝑡𝑎𝑙=(Σ_(𝑖=1)^𝑘 (𝑛_𝑖⋅𝐸[𝑋_𝑖^2 ]))/(Σ_(𝑖=1)^𝑘 (𝑛_𝑖 ) )</a:t>
              </a:r>
              <a:endParaRPr lang="en-US" altLang="ko-KR" sz="1100" b="0"/>
            </a:p>
            <a:p>
              <a:endParaRPr lang="en-US" altLang="ko-KR" sz="1100"/>
            </a:p>
          </xdr:txBody>
        </xdr:sp>
      </mc:Fallback>
    </mc:AlternateContent>
    <xdr:clientData/>
  </xdr:oneCellAnchor>
  <xdr:oneCellAnchor>
    <xdr:from>
      <xdr:col>0</xdr:col>
      <xdr:colOff>0</xdr:colOff>
      <xdr:row>43</xdr:row>
      <xdr:rowOff>0</xdr:rowOff>
    </xdr:from>
    <xdr:ext cx="2239972" cy="24855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03750EF7-9AC9-7A4A-95AB-0ACFE5261976}"/>
                </a:ext>
              </a:extLst>
            </xdr:cNvPr>
            <xdr:cNvSpPr txBox="1"/>
          </xdr:nvSpPr>
          <xdr:spPr>
            <a:xfrm>
              <a:off x="0" y="10515600"/>
              <a:ext cx="2239972" cy="24855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Sup>
                      <m:sSubSup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𝜎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𝑡𝑜𝑡𝑎𝑙</m:t>
                        </m:r>
                      </m:sub>
                      <m:sup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bSup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𝐸</m:t>
                    </m:r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d>
                          <m:dPr>
                            <m:begChr m:val="["/>
                            <m:endChr m:val="]"/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p>
                              <m:sSupPr>
                                <m:ctrl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𝑋</m:t>
                                </m:r>
                              </m:e>
                              <m:sup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p>
                          </m:e>
                        </m:d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𝑡𝑜𝑡𝑎𝑙</m:t>
                        </m:r>
                      </m:sub>
                    </m:sSub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−</m:t>
                    </m:r>
                    <m:sSup>
                      <m:sSup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𝜇</m:t>
                                </m:r>
                              </m:e>
                              <m:sub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𝑡𝑜𝑡𝑎𝑙</m:t>
                                </m:r>
                              </m:sub>
                            </m:sSub>
                          </m:e>
                        </m:d>
                      </m:e>
                      <m:sup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p>
                  </m:oMath>
                </m:oMathPara>
              </a14:m>
              <a:endParaRPr lang="en-US" altLang="ko-KR" sz="1100" b="0"/>
            </a:p>
            <a:p>
              <a:endParaRPr lang="ko-KR" altLang="en-US" sz="1100"/>
            </a:p>
          </xdr:txBody>
        </xdr:sp>
      </mc:Choice>
      <mc:Fallback xmlns="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03750EF7-9AC9-7A4A-95AB-0ACFE5261976}"/>
                </a:ext>
              </a:extLst>
            </xdr:cNvPr>
            <xdr:cNvSpPr txBox="1"/>
          </xdr:nvSpPr>
          <xdr:spPr>
            <a:xfrm>
              <a:off x="0" y="10515600"/>
              <a:ext cx="2239972" cy="24855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𝜎_𝑡𝑜𝑡𝑎𝑙^2=𝐸[𝑋^2 ]_𝑡𝑜𝑡𝑎𝑙−(𝜇_𝑡𝑜𝑡𝑎𝑙 )^2</a:t>
              </a:r>
              <a:endParaRPr lang="en-US" altLang="ko-KR" sz="1100" b="0"/>
            </a:p>
            <a:p>
              <a:endParaRPr lang="ko-KR" altLang="en-US" sz="1100"/>
            </a:p>
          </xdr:txBody>
        </xdr:sp>
      </mc:Fallback>
    </mc:AlternateContent>
    <xdr:clientData/>
  </xdr:oneCellAnchor>
  <xdr:oneCellAnchor>
    <xdr:from>
      <xdr:col>0</xdr:col>
      <xdr:colOff>0</xdr:colOff>
      <xdr:row>45</xdr:row>
      <xdr:rowOff>0</xdr:rowOff>
    </xdr:from>
    <xdr:ext cx="1559722" cy="55335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F5BB65B0-93AD-A842-9A30-0E723D66B9C5}"/>
                </a:ext>
              </a:extLst>
            </xdr:cNvPr>
            <xdr:cNvSpPr txBox="1"/>
          </xdr:nvSpPr>
          <xdr:spPr>
            <a:xfrm>
              <a:off x="0" y="10972800"/>
              <a:ext cx="1559722" cy="55335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𝜎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𝑙𝑜𝑔</m:t>
                        </m:r>
                      </m:sub>
                    </m:sSub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=</m:t>
                    </m:r>
                    <m:rad>
                      <m:radPr>
                        <m:degHide m:val="on"/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r>
                          <m:rPr>
                            <m:sty m:val="p"/>
                          </m:rPr>
                          <a:rPr lang="en-US" altLang="ko-KR" sz="1100" b="0" i="1">
                            <a:latin typeface="Cambria Math" panose="02040503050406030204" pitchFamily="18" charset="0"/>
                          </a:rPr>
                          <m:t>ln</m:t>
                        </m:r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(1+</m:t>
                        </m:r>
                        <m:f>
                          <m:f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sSubSup>
                              <m:sSubSupPr>
                                <m:ctrl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𝜎</m:t>
                                </m:r>
                              </m:e>
                              <m:sub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𝑡𝑜𝑡𝑎𝑙</m:t>
                                </m:r>
                              </m:sub>
                              <m:sup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bSup>
                          </m:num>
                          <m:den>
                            <m:sSup>
                              <m:sSupPr>
                                <m:ctrl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sSub>
                                  <m:sSubPr>
                                    <m:ctrlPr>
                                      <a:rPr lang="en-US" altLang="ko-KR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altLang="ko-KR" sz="1100" b="0" i="1">
                                        <a:latin typeface="Cambria Math" panose="02040503050406030204" pitchFamily="18" charset="0"/>
                                      </a:rPr>
                                      <m:t>𝜇</m:t>
                                    </m:r>
                                  </m:e>
                                  <m:sub>
                                    <m:r>
                                      <a:rPr lang="en-US" altLang="ko-KR" sz="1100" b="0" i="1">
                                        <a:latin typeface="Cambria Math" panose="02040503050406030204" pitchFamily="18" charset="0"/>
                                      </a:rPr>
                                      <m:t>𝑡𝑜𝑡𝑎𝑙</m:t>
                                    </m:r>
                                  </m:sub>
                                </m:sSub>
                              </m:e>
                              <m:sup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p>
                          </m:den>
                        </m:f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)</m:t>
                        </m:r>
                      </m:e>
                    </m:rad>
                  </m:oMath>
                </m:oMathPara>
              </a14:m>
              <a:endParaRPr lang="en-US" altLang="ko-KR" sz="1100" b="0"/>
            </a:p>
            <a:p>
              <a:endParaRPr lang="ko-KR" altLang="en-US" sz="1100"/>
            </a:p>
          </xdr:txBody>
        </xdr:sp>
      </mc:Choice>
      <mc:Fallback xmlns="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F5BB65B0-93AD-A842-9A30-0E723D66B9C5}"/>
                </a:ext>
              </a:extLst>
            </xdr:cNvPr>
            <xdr:cNvSpPr txBox="1"/>
          </xdr:nvSpPr>
          <xdr:spPr>
            <a:xfrm>
              <a:off x="0" y="10972800"/>
              <a:ext cx="1559722" cy="55335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𝜎_𝑙𝑜𝑔=√(ln(1+(𝜎_𝑡𝑜𝑡𝑎𝑙^2)/〖𝜇_𝑡𝑜𝑡𝑎𝑙〗^2 ))</a:t>
              </a:r>
              <a:endParaRPr lang="en-US" altLang="ko-KR" sz="1100" b="0"/>
            </a:p>
            <a:p>
              <a:endParaRPr lang="ko-KR" altLang="en-US" sz="1100"/>
            </a:p>
          </xdr:txBody>
        </xdr:sp>
      </mc:Fallback>
    </mc:AlternateContent>
    <xdr:clientData/>
  </xdr:oneCellAnchor>
  <xdr:oneCellAnchor>
    <xdr:from>
      <xdr:col>0</xdr:col>
      <xdr:colOff>0</xdr:colOff>
      <xdr:row>48</xdr:row>
      <xdr:rowOff>1</xdr:rowOff>
    </xdr:from>
    <xdr:ext cx="1559722" cy="45357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D9BBF8FE-5387-374B-9A6E-12EB40BA6832}"/>
                </a:ext>
              </a:extLst>
            </xdr:cNvPr>
            <xdr:cNvSpPr txBox="1"/>
          </xdr:nvSpPr>
          <xdr:spPr>
            <a:xfrm>
              <a:off x="0" y="11658601"/>
              <a:ext cx="1559722" cy="4535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𝜇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𝑙𝑜𝑔</m:t>
                        </m:r>
                      </m:sub>
                    </m:sSub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=</m:t>
                    </m:r>
                    <m:r>
                      <m:rPr>
                        <m:sty m:val="p"/>
                      </m:rPr>
                      <a:rPr lang="en-US" altLang="ko-KR" sz="1100" b="0" i="1">
                        <a:latin typeface="Cambria Math" panose="02040503050406030204" pitchFamily="18" charset="0"/>
                      </a:rPr>
                      <m:t>ln</m:t>
                    </m:r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(</m:t>
                    </m:r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𝜇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𝑡𝑜𝑡𝑎𝑙</m:t>
                        </m:r>
                      </m:sub>
                    </m:sSub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)−</m:t>
                    </m:r>
                    <m:f>
                      <m:f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Sup>
                          <m:sSubSup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𝜎</m:t>
                            </m:r>
                          </m:e>
                          <m:sub>
                            <m:r>
                              <m:rPr>
                                <m:sty m:val="p"/>
                              </m:r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log</m:t>
                            </m:r>
                          </m:sub>
                          <m:sup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bSup>
                      </m:num>
                      <m:den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</m:oMath>
                </m:oMathPara>
              </a14:m>
              <a:endParaRPr lang="en-US" altLang="ko-KR" sz="1100" b="0"/>
            </a:p>
            <a:p>
              <a:endParaRPr lang="ko-KR" altLang="en-US" sz="1100"/>
            </a:p>
          </xdr:txBody>
        </xdr:sp>
      </mc:Choice>
      <mc:Fallback xmlns="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D9BBF8FE-5387-374B-9A6E-12EB40BA6832}"/>
                </a:ext>
              </a:extLst>
            </xdr:cNvPr>
            <xdr:cNvSpPr txBox="1"/>
          </xdr:nvSpPr>
          <xdr:spPr>
            <a:xfrm>
              <a:off x="0" y="11658601"/>
              <a:ext cx="1559722" cy="4535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𝜇_𝑙𝑜𝑔=ln(𝜇_𝑡𝑜𝑡𝑎𝑙)−(𝜎_log^2)/2</a:t>
              </a:r>
              <a:endParaRPr lang="en-US" altLang="ko-KR" sz="1100" b="0"/>
            </a:p>
            <a:p>
              <a:endParaRPr lang="ko-KR" altLang="en-US" sz="1100"/>
            </a:p>
          </xdr:txBody>
        </xdr:sp>
      </mc:Fallback>
    </mc:AlternateContent>
    <xdr:clientData/>
  </xdr:oneCellAnchor>
  <xdr:oneCellAnchor>
    <xdr:from>
      <xdr:col>0</xdr:col>
      <xdr:colOff>0</xdr:colOff>
      <xdr:row>51</xdr:row>
      <xdr:rowOff>0</xdr:rowOff>
    </xdr:from>
    <xdr:ext cx="2071786" cy="18299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9B200117-A9AD-004E-BFB2-53D5F6B7E3FB}"/>
                </a:ext>
              </a:extLst>
            </xdr:cNvPr>
            <xdr:cNvSpPr txBox="1"/>
          </xdr:nvSpPr>
          <xdr:spPr>
            <a:xfrm>
              <a:off x="0" y="12344400"/>
              <a:ext cx="2071786" cy="1829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m:rPr>
                        <m:sty m:val="p"/>
                      </m:rPr>
                      <a:rPr lang="en-US" altLang="ko-KR" sz="1100" b="0" i="1">
                        <a:latin typeface="Cambria Math" panose="02040503050406030204" pitchFamily="18" charset="0"/>
                      </a:rPr>
                      <m:t>p</m:t>
                    </m:r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95=</m:t>
                    </m:r>
                    <m:r>
                      <m:rPr>
                        <m:nor/>
                      </m:rPr>
                      <a:rPr lang="en-US" altLang="ko-KR" sz="1100" b="0" i="0">
                        <a:latin typeface="Cambria Math" panose="02040503050406030204" pitchFamily="18" charset="0"/>
                      </a:rPr>
                      <m:t>exp</m:t>
                    </m:r>
                    <m:r>
                      <m:rPr>
                        <m:nor/>
                      </m:rPr>
                      <a:rPr lang="en-US" altLang="ko-KR" sz="1100" b="0" i="0">
                        <a:latin typeface="Cambria Math" panose="02040503050406030204" pitchFamily="18" charset="0"/>
                      </a:rPr>
                      <m:t>(</m:t>
                    </m:r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𝜇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𝑙𝑜𝑔</m:t>
                        </m:r>
                      </m:sub>
                    </m:sSub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+1.64485 ⋅</m:t>
                    </m:r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𝜎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𝑙𝑜𝑔</m:t>
                        </m:r>
                      </m:sub>
                    </m:sSub>
                    <m:r>
                      <m:rPr>
                        <m:nor/>
                      </m:rPr>
                      <a:rPr lang="en-US" altLang="ko-KR" sz="1100" b="0" i="0">
                        <a:latin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ko-KR" altLang="en-US" sz="1100"/>
            </a:p>
          </xdr:txBody>
        </xdr:sp>
      </mc:Choice>
      <mc:Fallback xmlns="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9B200117-A9AD-004E-BFB2-53D5F6B7E3FB}"/>
                </a:ext>
              </a:extLst>
            </xdr:cNvPr>
            <xdr:cNvSpPr txBox="1"/>
          </xdr:nvSpPr>
          <xdr:spPr>
            <a:xfrm>
              <a:off x="0" y="12344400"/>
              <a:ext cx="2071786" cy="1829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p95="exp(" 𝜇_𝑙𝑜𝑔+1.64485 ⋅𝜎_𝑙𝑜𝑔 ")</a:t>
              </a:r>
              <a:r>
                <a:rPr lang="ko-KR" altLang="en-US" sz="1100" b="0" i="0">
                  <a:latin typeface="Cambria Math" panose="02040503050406030204" pitchFamily="18" charset="0"/>
                </a:rPr>
                <a:t>"</a:t>
              </a:r>
              <a:endParaRPr lang="ko-KR" altLang="en-US" sz="1100"/>
            </a:p>
          </xdr:txBody>
        </xdr:sp>
      </mc:Fallback>
    </mc:AlternateContent>
    <xdr:clientData/>
  </xdr:oneCellAnchor>
  <xdr:oneCellAnchor>
    <xdr:from>
      <xdr:col>3</xdr:col>
      <xdr:colOff>0</xdr:colOff>
      <xdr:row>14</xdr:row>
      <xdr:rowOff>0</xdr:rowOff>
    </xdr:from>
    <xdr:ext cx="738151" cy="35509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31FC3CA5-FAEE-F048-9C8B-A24F1ABC0429}"/>
                </a:ext>
              </a:extLst>
            </xdr:cNvPr>
            <xdr:cNvSpPr txBox="1"/>
          </xdr:nvSpPr>
          <xdr:spPr>
            <a:xfrm>
              <a:off x="4089400" y="3200400"/>
              <a:ext cx="738151" cy="35509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d>
                      <m:d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𝑛</m:t>
                            </m:r>
                          </m:e>
                          <m:sub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</m:sub>
                        </m:s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sSubSup>
                      <m:sSubSup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𝜎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  <m:sup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bSup>
                  </m:oMath>
                </m:oMathPara>
              </a14:m>
              <a:endParaRPr lang="en-US" altLang="ko-KR" sz="1100" b="0"/>
            </a:p>
            <a:p>
              <a:endParaRPr lang="ko-KR" altLang="en-US" sz="1100"/>
            </a:p>
          </xdr:txBody>
        </xdr:sp>
      </mc:Choice>
      <mc:Fallback xmlns="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31FC3CA5-FAEE-F048-9C8B-A24F1ABC0429}"/>
                </a:ext>
              </a:extLst>
            </xdr:cNvPr>
            <xdr:cNvSpPr txBox="1"/>
          </xdr:nvSpPr>
          <xdr:spPr>
            <a:xfrm>
              <a:off x="4089400" y="3200400"/>
              <a:ext cx="738151" cy="35509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altLang="ko-KR" sz="1100" b="0" i="0">
                  <a:latin typeface="Cambria Math" panose="02040503050406030204" pitchFamily="18" charset="0"/>
                </a:rPr>
                <a:t>(𝑛_𝑖−1) </a:t>
              </a:r>
              <a:r>
                <a:rPr lang="en-US" altLang="ko-KR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𝜎_</a:t>
              </a:r>
              <a:r>
                <a:rPr lang="en-US" altLang="ko-KR" sz="1100" b="0" i="0">
                  <a:latin typeface="Cambria Math" panose="02040503050406030204" pitchFamily="18" charset="0"/>
                </a:rPr>
                <a:t>𝑖^2</a:t>
              </a:r>
              <a:endParaRPr lang="en-US" altLang="ko-KR" sz="1100" b="0"/>
            </a:p>
            <a:p>
              <a:endParaRPr lang="ko-KR" altLang="en-US" sz="1100"/>
            </a:p>
          </xdr:txBody>
        </xdr:sp>
      </mc:Fallback>
    </mc:AlternateContent>
    <xdr:clientData/>
  </xdr:oneCellAnchor>
  <xdr:oneCellAnchor>
    <xdr:from>
      <xdr:col>3</xdr:col>
      <xdr:colOff>0</xdr:colOff>
      <xdr:row>18</xdr:row>
      <xdr:rowOff>0</xdr:rowOff>
    </xdr:from>
    <xdr:ext cx="1599284" cy="18287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0" name="TextBox 19">
              <a:extLst>
                <a:ext uri="{FF2B5EF4-FFF2-40B4-BE49-F238E27FC236}">
                  <a16:creationId xmlns:a16="http://schemas.microsoft.com/office/drawing/2014/main" id="{253730DF-9366-4D4B-8E35-6C8BF27D32E9}"/>
                </a:ext>
              </a:extLst>
            </xdr:cNvPr>
            <xdr:cNvSpPr txBox="1"/>
          </xdr:nvSpPr>
          <xdr:spPr>
            <a:xfrm>
              <a:off x="4089400" y="4114800"/>
              <a:ext cx="1599284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𝑆</m:t>
                    </m:r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𝑤𝑖𝑡h𝑖𝑛</m:t>
                        </m:r>
                      </m:sub>
                    </m:sSub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=</m:t>
                    </m:r>
                    <m:sSubSup>
                      <m:sSubSup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m:rPr>
                            <m:sty m:val="p"/>
                          </m:rPr>
                          <a:rPr lang="en-US" altLang="ko-KR" sz="1100" b="0" i="0">
                            <a:latin typeface="Cambria Math" panose="02040503050406030204" pitchFamily="18" charset="0"/>
                          </a:rPr>
                          <m:t>Σ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𝑖</m:t>
                        </m:r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  <m:sup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bSup>
                    <m:d>
                      <m:d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𝑛</m:t>
                            </m:r>
                          </m:e>
                          <m:sub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</m:sub>
                        </m:s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sSubSup>
                      <m:sSubSup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𝜎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  <m:sup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bSup>
                  </m:oMath>
                </m:oMathPara>
              </a14:m>
              <a:endParaRPr lang="en-US" altLang="ko-KR" sz="1100" b="0"/>
            </a:p>
          </xdr:txBody>
        </xdr:sp>
      </mc:Choice>
      <mc:Fallback xmlns="">
        <xdr:sp macro="" textlink="">
          <xdr:nvSpPr>
            <xdr:cNvPr id="20" name="TextBox 19">
              <a:extLst>
                <a:ext uri="{FF2B5EF4-FFF2-40B4-BE49-F238E27FC236}">
                  <a16:creationId xmlns:a16="http://schemas.microsoft.com/office/drawing/2014/main" id="{253730DF-9366-4D4B-8E35-6C8BF27D32E9}"/>
                </a:ext>
              </a:extLst>
            </xdr:cNvPr>
            <xdr:cNvSpPr txBox="1"/>
          </xdr:nvSpPr>
          <xdr:spPr>
            <a:xfrm>
              <a:off x="4089400" y="4114800"/>
              <a:ext cx="1599284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altLang="ko-KR" sz="1100" b="0" i="0">
                  <a:latin typeface="Cambria Math" panose="02040503050406030204" pitchFamily="18" charset="0"/>
                </a:rPr>
                <a:t>𝑆𝑆_𝑤𝑖𝑡ℎ𝑖𝑛=Σ_(𝑖=1)^2 (𝑛_𝑖−1) 𝜎_𝑖^2</a:t>
              </a:r>
              <a:endParaRPr lang="en-US" altLang="ko-KR" sz="1100" b="0"/>
            </a:p>
          </xdr:txBody>
        </xdr:sp>
      </mc:Fallback>
    </mc:AlternateContent>
    <xdr:clientData/>
  </xdr:oneCellAnchor>
  <xdr:oneCellAnchor>
    <xdr:from>
      <xdr:col>3</xdr:col>
      <xdr:colOff>0</xdr:colOff>
      <xdr:row>20</xdr:row>
      <xdr:rowOff>0</xdr:rowOff>
    </xdr:from>
    <xdr:ext cx="964816" cy="17722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E096D842-94CD-7E49-8272-517704E2D588}"/>
                </a:ext>
              </a:extLst>
            </xdr:cNvPr>
            <xdr:cNvSpPr txBox="1"/>
          </xdr:nvSpPr>
          <xdr:spPr>
            <a:xfrm>
              <a:off x="4089400" y="4572000"/>
              <a:ext cx="964816" cy="1772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  <m:sSup>
                      <m:sSup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𝜇</m:t>
                                </m:r>
                              </m:e>
                              <m:sub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𝑖</m:t>
                                </m:r>
                              </m:sub>
                            </m:sSub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−</m:t>
                            </m:r>
                            <m:sSub>
                              <m:sSubPr>
                                <m:ctrl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𝜇</m:t>
                                </m:r>
                              </m:e>
                              <m:sub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𝑡𝑜𝑡𝑎𝑙</m:t>
                                </m:r>
                              </m:sub>
                            </m:sSub>
                          </m:e>
                        </m:d>
                      </m:e>
                      <m:sup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p>
                  </m:oMath>
                </m:oMathPara>
              </a14:m>
              <a:endParaRPr lang="en-US" altLang="ko-KR" sz="1100" b="0"/>
            </a:p>
          </xdr:txBody>
        </xdr:sp>
      </mc:Choice>
      <mc:Fallback xmlns="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E096D842-94CD-7E49-8272-517704E2D588}"/>
                </a:ext>
              </a:extLst>
            </xdr:cNvPr>
            <xdr:cNvSpPr txBox="1"/>
          </xdr:nvSpPr>
          <xdr:spPr>
            <a:xfrm>
              <a:off x="4089400" y="4572000"/>
              <a:ext cx="964816" cy="1772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altLang="ko-KR" sz="1100" b="0" i="0">
                  <a:latin typeface="Cambria Math" panose="02040503050406030204" pitchFamily="18" charset="0"/>
                </a:rPr>
                <a:t>𝑛_𝑖 (𝜇_𝑖−𝜇_𝑡𝑜𝑡𝑎𝑙 )^2</a:t>
              </a:r>
              <a:endParaRPr lang="en-US" altLang="ko-KR" sz="1100" b="0"/>
            </a:p>
          </xdr:txBody>
        </xdr:sp>
      </mc:Fallback>
    </mc:AlternateContent>
    <xdr:clientData/>
  </xdr:oneCellAnchor>
  <xdr:oneCellAnchor>
    <xdr:from>
      <xdr:col>3</xdr:col>
      <xdr:colOff>0</xdr:colOff>
      <xdr:row>24</xdr:row>
      <xdr:rowOff>0</xdr:rowOff>
    </xdr:from>
    <xdr:ext cx="1984902" cy="18678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2" name="TextBox 21">
              <a:extLst>
                <a:ext uri="{FF2B5EF4-FFF2-40B4-BE49-F238E27FC236}">
                  <a16:creationId xmlns:a16="http://schemas.microsoft.com/office/drawing/2014/main" id="{6337DF10-4289-044F-9ADB-231FF780CB1F}"/>
                </a:ext>
              </a:extLst>
            </xdr:cNvPr>
            <xdr:cNvSpPr txBox="1"/>
          </xdr:nvSpPr>
          <xdr:spPr>
            <a:xfrm>
              <a:off x="4089400" y="5486400"/>
              <a:ext cx="1984902" cy="1867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𝑆</m:t>
                    </m:r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𝑏𝑒𝑡𝑤𝑒𝑒𝑛</m:t>
                        </m:r>
                      </m:sub>
                    </m:sSub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=</m:t>
                    </m:r>
                    <m:sSubSup>
                      <m:sSubSup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m:rPr>
                            <m:sty m:val="p"/>
                          </m:rPr>
                          <a:rPr lang="en-US" altLang="ko-KR" sz="1100" b="0" i="0">
                            <a:latin typeface="Cambria Math" panose="02040503050406030204" pitchFamily="18" charset="0"/>
                          </a:rPr>
                          <m:t>Σ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𝑖</m:t>
                        </m:r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  <m:sup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𝑘</m:t>
                        </m:r>
                      </m:sup>
                    </m:sSubSup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  <m:sSup>
                      <m:sSup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𝜇</m:t>
                                </m:r>
                              </m:e>
                              <m:sub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𝑖</m:t>
                                </m:r>
                              </m:sub>
                            </m:sSub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−</m:t>
                            </m:r>
                            <m:sSub>
                              <m:sSubPr>
                                <m:ctrl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𝜇</m:t>
                                </m:r>
                              </m:e>
                              <m:sub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𝑡𝑜𝑡𝑎𝑙</m:t>
                                </m:r>
                              </m:sub>
                            </m:sSub>
                          </m:e>
                        </m:d>
                      </m:e>
                      <m:sup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p>
                  </m:oMath>
                </m:oMathPara>
              </a14:m>
              <a:endParaRPr lang="en-US" altLang="ko-KR" sz="1100" b="0"/>
            </a:p>
          </xdr:txBody>
        </xdr:sp>
      </mc:Choice>
      <mc:Fallback xmlns="">
        <xdr:sp macro="" textlink="">
          <xdr:nvSpPr>
            <xdr:cNvPr id="22" name="TextBox 21">
              <a:extLst>
                <a:ext uri="{FF2B5EF4-FFF2-40B4-BE49-F238E27FC236}">
                  <a16:creationId xmlns:a16="http://schemas.microsoft.com/office/drawing/2014/main" id="{6337DF10-4289-044F-9ADB-231FF780CB1F}"/>
                </a:ext>
              </a:extLst>
            </xdr:cNvPr>
            <xdr:cNvSpPr txBox="1"/>
          </xdr:nvSpPr>
          <xdr:spPr>
            <a:xfrm>
              <a:off x="4089400" y="5486400"/>
              <a:ext cx="1984902" cy="1867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altLang="ko-KR" sz="1100" b="0" i="0">
                  <a:latin typeface="Cambria Math" panose="02040503050406030204" pitchFamily="18" charset="0"/>
                </a:rPr>
                <a:t>𝑆𝑆_𝑏𝑒𝑡𝑤𝑒𝑒𝑛=Σ_(𝑖=1)^𝑘 𝑛_𝑖 (𝜇_𝑖−𝜇_𝑡𝑜𝑡𝑎𝑙 )^2</a:t>
              </a:r>
              <a:endParaRPr lang="en-US" altLang="ko-KR" sz="1100" b="0"/>
            </a:p>
          </xdr:txBody>
        </xdr:sp>
      </mc:Fallback>
    </mc:AlternateContent>
    <xdr:clientData/>
  </xdr:oneCellAnchor>
  <xdr:oneCellAnchor>
    <xdr:from>
      <xdr:col>3</xdr:col>
      <xdr:colOff>0</xdr:colOff>
      <xdr:row>26</xdr:row>
      <xdr:rowOff>0</xdr:rowOff>
    </xdr:from>
    <xdr:ext cx="1842235" cy="50013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3" name="TextBox 22">
              <a:extLst>
                <a:ext uri="{FF2B5EF4-FFF2-40B4-BE49-F238E27FC236}">
                  <a16:creationId xmlns:a16="http://schemas.microsoft.com/office/drawing/2014/main" id="{0B8374E3-AE91-114D-98A3-6B693CD1D1CE}"/>
                </a:ext>
              </a:extLst>
            </xdr:cNvPr>
            <xdr:cNvSpPr txBox="1"/>
          </xdr:nvSpPr>
          <xdr:spPr>
            <a:xfrm>
              <a:off x="4089400" y="5943600"/>
              <a:ext cx="1842235" cy="50013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𝜎</m:t>
                        </m:r>
                      </m:e>
                      <m:sub>
                        <m:r>
                          <m:rPr>
                            <m:sty m:val="p"/>
                          </m:rPr>
                          <a:rPr lang="en-US" altLang="ko-KR" sz="1100" b="0" i="1">
                            <a:latin typeface="Cambria Math" panose="02040503050406030204" pitchFamily="18" charset="0"/>
                          </a:rPr>
                          <m:t>total</m:t>
                        </m:r>
                      </m:sub>
                    </m:sSub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=</m:t>
                    </m:r>
                    <m:rad>
                      <m:radPr>
                        <m:degHide m:val="on"/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f>
                          <m:f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sSub>
                              <m:sSubPr>
                                <m:ctrl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m:rPr>
                                    <m:sty m:val="p"/>
                                  </m:r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SS</m:t>
                                </m:r>
                              </m:e>
                              <m:sub>
                                <m:r>
                                  <m:rPr>
                                    <m:sty m:val="p"/>
                                  </m:r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within</m:t>
                                </m:r>
                              </m:sub>
                            </m:sSub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+</m:t>
                            </m:r>
                            <m:sSub>
                              <m:sSubPr>
                                <m:ctrl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m:rPr>
                                    <m:sty m:val="p"/>
                                  </m:r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SS</m:t>
                                </m:r>
                              </m:e>
                              <m:sub>
                                <m:r>
                                  <m:rPr>
                                    <m:sty m:val="p"/>
                                  </m:r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between</m:t>
                                </m:r>
                              </m:sub>
                            </m:sSub>
                          </m:num>
                          <m:den>
                            <m:r>
                              <m:rPr>
                                <m:sty m:val="p"/>
                              </m:r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N</m:t>
                            </m:r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−1</m:t>
                            </m:r>
                          </m:den>
                        </m:f>
                      </m:e>
                    </m:rad>
                  </m:oMath>
                </m:oMathPara>
              </a14:m>
              <a:endParaRPr lang="ko-KR" altLang="en-US" sz="1100"/>
            </a:p>
          </xdr:txBody>
        </xdr:sp>
      </mc:Choice>
      <mc:Fallback xmlns="">
        <xdr:sp macro="" textlink="">
          <xdr:nvSpPr>
            <xdr:cNvPr id="23" name="TextBox 22">
              <a:extLst>
                <a:ext uri="{FF2B5EF4-FFF2-40B4-BE49-F238E27FC236}">
                  <a16:creationId xmlns:a16="http://schemas.microsoft.com/office/drawing/2014/main" id="{0B8374E3-AE91-114D-98A3-6B693CD1D1CE}"/>
                </a:ext>
              </a:extLst>
            </xdr:cNvPr>
            <xdr:cNvSpPr txBox="1"/>
          </xdr:nvSpPr>
          <xdr:spPr>
            <a:xfrm>
              <a:off x="4089400" y="5943600"/>
              <a:ext cx="1842235" cy="50013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altLang="ko-KR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𝜎_</a:t>
              </a:r>
              <a:r>
                <a:rPr lang="en-US" altLang="ko-KR" sz="1100" b="0" i="0">
                  <a:latin typeface="Cambria Math" panose="02040503050406030204" pitchFamily="18" charset="0"/>
                </a:rPr>
                <a:t>total=√((SS_within+SS_between)/(N-1))</a:t>
              </a:r>
              <a:endParaRPr lang="ko-KR" altLang="en-US" sz="1100"/>
            </a:p>
          </xdr:txBody>
        </xdr:sp>
      </mc:Fallback>
    </mc:AlternateContent>
    <xdr:clientData/>
  </xdr:oneCellAnchor>
  <xdr:oneCellAnchor>
    <xdr:from>
      <xdr:col>3</xdr:col>
      <xdr:colOff>0</xdr:colOff>
      <xdr:row>29</xdr:row>
      <xdr:rowOff>0</xdr:rowOff>
    </xdr:from>
    <xdr:ext cx="438710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4" name="TextBox 23">
              <a:extLst>
                <a:ext uri="{FF2B5EF4-FFF2-40B4-BE49-F238E27FC236}">
                  <a16:creationId xmlns:a16="http://schemas.microsoft.com/office/drawing/2014/main" id="{CDA19ACE-19A4-9147-BA0B-E82238AA4642}"/>
                </a:ext>
              </a:extLst>
            </xdr:cNvPr>
            <xdr:cNvSpPr txBox="1"/>
          </xdr:nvSpPr>
          <xdr:spPr>
            <a:xfrm>
              <a:off x="4089400" y="6629400"/>
              <a:ext cx="438710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2</m:t>
                    </m:r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𝜎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𝑡𝑜𝑡𝑎𝑙</m:t>
                        </m:r>
                      </m:sub>
                    </m:sSub>
                  </m:oMath>
                </m:oMathPara>
              </a14:m>
              <a:endParaRPr lang="en-US" altLang="ko-KR" sz="1100" b="0"/>
            </a:p>
          </xdr:txBody>
        </xdr:sp>
      </mc:Choice>
      <mc:Fallback xmlns="">
        <xdr:sp macro="" textlink="">
          <xdr:nvSpPr>
            <xdr:cNvPr id="24" name="TextBox 23">
              <a:extLst>
                <a:ext uri="{FF2B5EF4-FFF2-40B4-BE49-F238E27FC236}">
                  <a16:creationId xmlns:a16="http://schemas.microsoft.com/office/drawing/2014/main" id="{CDA19ACE-19A4-9147-BA0B-E82238AA4642}"/>
                </a:ext>
              </a:extLst>
            </xdr:cNvPr>
            <xdr:cNvSpPr txBox="1"/>
          </xdr:nvSpPr>
          <xdr:spPr>
            <a:xfrm>
              <a:off x="4089400" y="6629400"/>
              <a:ext cx="438710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altLang="ko-KR" sz="1100" b="0" i="0">
                  <a:latin typeface="Cambria Math" panose="02040503050406030204" pitchFamily="18" charset="0"/>
                </a:rPr>
                <a:t>2𝜎_𝑡𝑜𝑡𝑎𝑙</a:t>
              </a:r>
              <a:endParaRPr lang="en-US" altLang="ko-KR" sz="1100" b="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90FF2-05CE-D448-86AD-2037A78C46DE}">
  <dimension ref="A1:M53"/>
  <sheetViews>
    <sheetView tabSelected="1" workbookViewId="0">
      <selection activeCell="D14" sqref="D14:E32"/>
    </sheetView>
  </sheetViews>
  <sheetFormatPr baseColWidth="10" defaultRowHeight="18"/>
  <cols>
    <col min="1" max="1" width="23.85546875" customWidth="1"/>
    <col min="2" max="2" width="13.42578125" customWidth="1"/>
    <col min="3" max="3" width="8.7109375" bestFit="1" customWidth="1"/>
    <col min="4" max="4" width="23.7109375" customWidth="1"/>
    <col min="5" max="5" width="18.85546875" bestFit="1" customWidth="1"/>
    <col min="6" max="6" width="30.5703125" bestFit="1" customWidth="1"/>
    <col min="7" max="7" width="4.7109375" bestFit="1" customWidth="1"/>
    <col min="8" max="8" width="19.7109375" bestFit="1" customWidth="1"/>
    <col min="9" max="9" width="23.85546875" bestFit="1" customWidth="1"/>
    <col min="10" max="10" width="14" bestFit="1" customWidth="1"/>
    <col min="11" max="11" width="23.42578125" bestFit="1" customWidth="1"/>
    <col min="12" max="12" width="30.7109375" bestFit="1" customWidth="1"/>
    <col min="13" max="13" width="20.7109375" bestFit="1" customWidth="1"/>
  </cols>
  <sheetData>
    <row r="1" spans="1:1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>
      <c r="A2" s="1">
        <v>46110.613495370373</v>
      </c>
      <c r="B2">
        <v>711</v>
      </c>
      <c r="C2">
        <v>94</v>
      </c>
      <c r="D2">
        <v>0</v>
      </c>
      <c r="E2">
        <v>349.46800000000002</v>
      </c>
      <c r="F2">
        <v>230.27199999999999</v>
      </c>
      <c r="G2">
        <v>47</v>
      </c>
      <c r="H2">
        <v>81</v>
      </c>
      <c r="I2">
        <v>3807</v>
      </c>
      <c r="J2">
        <v>0</v>
      </c>
      <c r="K2">
        <v>0</v>
      </c>
      <c r="L2">
        <v>78.222999999999999</v>
      </c>
      <c r="M2">
        <v>131.84</v>
      </c>
    </row>
    <row r="3" spans="1:13">
      <c r="A3" s="1">
        <v>46110.613518518519</v>
      </c>
      <c r="B3">
        <v>702</v>
      </c>
      <c r="C3">
        <v>104</v>
      </c>
      <c r="D3">
        <v>0</v>
      </c>
      <c r="E3">
        <v>1124.731</v>
      </c>
      <c r="F3">
        <v>475.11399999999998</v>
      </c>
      <c r="G3">
        <v>52</v>
      </c>
      <c r="H3">
        <v>81</v>
      </c>
      <c r="I3">
        <v>4212</v>
      </c>
      <c r="J3">
        <v>0</v>
      </c>
      <c r="K3">
        <v>0</v>
      </c>
      <c r="L3">
        <v>248.18299999999999</v>
      </c>
      <c r="M3">
        <v>294.096</v>
      </c>
    </row>
    <row r="4" spans="1:13">
      <c r="A4" s="1">
        <v>46110.613541666666</v>
      </c>
      <c r="B4">
        <v>116</v>
      </c>
      <c r="C4">
        <v>486</v>
      </c>
      <c r="D4">
        <v>0</v>
      </c>
      <c r="E4">
        <v>1375.4839999999999</v>
      </c>
      <c r="F4">
        <v>538.80499999999995</v>
      </c>
      <c r="G4">
        <v>243</v>
      </c>
      <c r="H4">
        <v>164.654</v>
      </c>
      <c r="I4">
        <v>40011</v>
      </c>
      <c r="J4">
        <v>484</v>
      </c>
      <c r="K4">
        <v>0</v>
      </c>
      <c r="L4">
        <v>436.28800000000001</v>
      </c>
      <c r="M4">
        <v>547.20000000000005</v>
      </c>
    </row>
    <row r="5" spans="1:13">
      <c r="A5" s="1">
        <v>46110.613564814812</v>
      </c>
      <c r="B5">
        <v>0</v>
      </c>
      <c r="C5">
        <v>116</v>
      </c>
      <c r="D5">
        <v>0</v>
      </c>
      <c r="E5">
        <v>1060.6289999999999</v>
      </c>
      <c r="F5">
        <v>483.62299999999999</v>
      </c>
      <c r="G5">
        <v>58</v>
      </c>
      <c r="H5">
        <v>165</v>
      </c>
      <c r="I5">
        <v>9570</v>
      </c>
      <c r="J5">
        <v>116</v>
      </c>
      <c r="K5">
        <v>0</v>
      </c>
      <c r="L5">
        <v>264.95699999999999</v>
      </c>
      <c r="M5">
        <v>321.50900000000001</v>
      </c>
    </row>
    <row r="10" spans="1:13">
      <c r="A10">
        <f>C2</f>
        <v>94</v>
      </c>
      <c r="B10">
        <f t="shared" ref="B10:C13" si="0">E2</f>
        <v>349.46800000000002</v>
      </c>
      <c r="C10">
        <f t="shared" si="0"/>
        <v>230.27199999999999</v>
      </c>
    </row>
    <row r="11" spans="1:13">
      <c r="A11">
        <f>C3</f>
        <v>104</v>
      </c>
      <c r="B11">
        <f t="shared" si="0"/>
        <v>1124.731</v>
      </c>
      <c r="C11">
        <f t="shared" si="0"/>
        <v>475.11399999999998</v>
      </c>
    </row>
    <row r="12" spans="1:13">
      <c r="A12">
        <f>C4</f>
        <v>486</v>
      </c>
      <c r="B12">
        <f t="shared" si="0"/>
        <v>1375.4839999999999</v>
      </c>
      <c r="C12">
        <f t="shared" si="0"/>
        <v>538.80499999999995</v>
      </c>
    </row>
    <row r="13" spans="1:13">
      <c r="A13">
        <f>C5</f>
        <v>116</v>
      </c>
      <c r="B13">
        <f t="shared" si="0"/>
        <v>1060.6289999999999</v>
      </c>
      <c r="C13">
        <f t="shared" si="0"/>
        <v>483.62299999999999</v>
      </c>
    </row>
    <row r="15" spans="1:13">
      <c r="B15">
        <f>A10*B10</f>
        <v>32849.991999999998</v>
      </c>
      <c r="E15">
        <f>(A10-1)*POWER(C10,2)</f>
        <v>4931343.0405120002</v>
      </c>
    </row>
    <row r="16" spans="1:13">
      <c r="B16">
        <f>A11*B11</f>
        <v>116972.024</v>
      </c>
      <c r="E16">
        <f>(A11-1)*POWER(C11,2)</f>
        <v>23250531.238587998</v>
      </c>
    </row>
    <row r="17" spans="2:5">
      <c r="B17">
        <f>A12*B12</f>
        <v>668485.22399999993</v>
      </c>
      <c r="E17">
        <f>(A12-1)*POWER(C12,2)</f>
        <v>140800751.59212497</v>
      </c>
    </row>
    <row r="18" spans="2:5">
      <c r="B18">
        <f>A13*B13</f>
        <v>123032.96399999999</v>
      </c>
      <c r="E18">
        <f>(A13-1)*POWER(C13,2)</f>
        <v>26897488.704835001</v>
      </c>
    </row>
    <row r="19" spans="2:5">
      <c r="B19">
        <f>SUM(B15:B18)</f>
        <v>941340.20400000003</v>
      </c>
      <c r="E19">
        <f>SUM(E15:E18)</f>
        <v>195880114.57605997</v>
      </c>
    </row>
    <row r="20" spans="2:5">
      <c r="B20">
        <f>SUM(A10:A13)</f>
        <v>800</v>
      </c>
    </row>
    <row r="21" spans="2:5">
      <c r="B21">
        <f>B19/B20</f>
        <v>1176.6752550000001</v>
      </c>
      <c r="E21">
        <f>A10*POWER((B10-B$21),2)</f>
        <v>64321553.216115691</v>
      </c>
    </row>
    <row r="22" spans="2:5">
      <c r="B22">
        <f>ROUND(B21,2)</f>
        <v>1176.68</v>
      </c>
      <c r="E22">
        <f>A11*POWER((B11-B$21),2)</f>
        <v>280613.38526052382</v>
      </c>
    </row>
    <row r="23" spans="2:5">
      <c r="E23">
        <f>A12*POWER((B12-B$21),2)</f>
        <v>19209109.704998828</v>
      </c>
    </row>
    <row r="24" spans="2:5">
      <c r="B24">
        <f>POWER(C10,2)</f>
        <v>53025.193983999998</v>
      </c>
      <c r="E24">
        <f>A13*POWER((B13-B$21),2)</f>
        <v>1562141.0627449083</v>
      </c>
    </row>
    <row r="25" spans="2:5">
      <c r="B25">
        <f>POWER(C11,2)</f>
        <v>225733.31299599996</v>
      </c>
      <c r="E25">
        <f>SUM(E21:E24)</f>
        <v>85373417.369119957</v>
      </c>
    </row>
    <row r="26" spans="2:5">
      <c r="B26">
        <f>POWER(C12,2)</f>
        <v>290310.82802499994</v>
      </c>
    </row>
    <row r="27" spans="2:5">
      <c r="B27">
        <f>POWER(C13,2)</f>
        <v>233891.206129</v>
      </c>
      <c r="E27">
        <f>SQRT((E19+E25)/(B20-1))</f>
        <v>593.30171378983675</v>
      </c>
    </row>
    <row r="28" spans="2:5">
      <c r="B28">
        <f>POWER(B10,2)</f>
        <v>122127.88302400001</v>
      </c>
      <c r="E28">
        <f>ROUND(E27,2)</f>
        <v>593.29999999999995</v>
      </c>
    </row>
    <row r="29" spans="2:5">
      <c r="B29">
        <f>POWER(B11,2)</f>
        <v>1265019.8223609999</v>
      </c>
    </row>
    <row r="30" spans="2:5">
      <c r="B30">
        <f>POWER(B12,2)</f>
        <v>1891956.2342559998</v>
      </c>
      <c r="E30">
        <f>2*E27</f>
        <v>1186.6034275796735</v>
      </c>
    </row>
    <row r="31" spans="2:5">
      <c r="B31">
        <f>POWER(B13,2)</f>
        <v>1124933.8756409998</v>
      </c>
      <c r="E31">
        <f>ROUND(E30,2)</f>
        <v>1186.5999999999999</v>
      </c>
    </row>
    <row r="32" spans="2:5">
      <c r="B32">
        <f>B24+B28</f>
        <v>175153.07700799999</v>
      </c>
    </row>
    <row r="33" spans="2:2">
      <c r="B33">
        <f>B25+B29</f>
        <v>1490753.1353569999</v>
      </c>
    </row>
    <row r="34" spans="2:2">
      <c r="B34">
        <f>B26+B30</f>
        <v>2182267.0622809995</v>
      </c>
    </row>
    <row r="35" spans="2:2">
      <c r="B35">
        <f>B27+B31</f>
        <v>1358825.0817699998</v>
      </c>
    </row>
    <row r="36" spans="2:2">
      <c r="B36">
        <f>A10*B32</f>
        <v>16464389.238752</v>
      </c>
    </row>
    <row r="37" spans="2:2">
      <c r="B37">
        <f>A11*B33</f>
        <v>155038326.07712799</v>
      </c>
    </row>
    <row r="38" spans="2:2">
      <c r="B38">
        <f>A12*B34</f>
        <v>1060581792.2685658</v>
      </c>
    </row>
    <row r="39" spans="2:2">
      <c r="B39">
        <f>A13*B35</f>
        <v>157623709.48531997</v>
      </c>
    </row>
    <row r="40" spans="2:2">
      <c r="B40">
        <f>SUM(B36:B39)</f>
        <v>1389708217.0697656</v>
      </c>
    </row>
    <row r="41" spans="2:2">
      <c r="B41">
        <f>B40/B20</f>
        <v>1737135.2713372069</v>
      </c>
    </row>
    <row r="44" spans="2:2">
      <c r="B44">
        <f>B41-POWER(B21,2)</f>
        <v>352570.6156078917</v>
      </c>
    </row>
    <row r="46" spans="2:2">
      <c r="B46">
        <f>SQRT(LN(1+B44/POWER(B21,2)))</f>
        <v>0.47628940614885923</v>
      </c>
    </row>
    <row r="49" spans="2:2">
      <c r="B49">
        <f>LN(B21)-POWER(B46,2)/2</f>
        <v>6.9570223608946353</v>
      </c>
    </row>
    <row r="52" spans="2:2">
      <c r="B52">
        <f>EXP(B49+1.64485*B46)</f>
        <v>2299.5000083209893</v>
      </c>
    </row>
    <row r="53" spans="2:2">
      <c r="B53">
        <f>ROUND(B52,2)</f>
        <v>2299.5</v>
      </c>
    </row>
  </sheetData>
  <phoneticPr fontId="18" type="noConversion"/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pessimistic-lock-800-ngrinder-r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함상현</dc:creator>
  <cp:lastModifiedBy>함상현</cp:lastModifiedBy>
  <dcterms:created xsi:type="dcterms:W3CDTF">2026-03-29T17:42:34Z</dcterms:created>
  <dcterms:modified xsi:type="dcterms:W3CDTF">2026-03-31T11:13:48Z</dcterms:modified>
</cp:coreProperties>
</file>