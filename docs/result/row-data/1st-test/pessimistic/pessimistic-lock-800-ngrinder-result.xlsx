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1st-test/pessimistic/"/>
    </mc:Choice>
  </mc:AlternateContent>
  <xr:revisionPtr revIDLastSave="0" documentId="13_ncr:1_{57B4C230-C6D5-2347-9801-BC9A14CC4648}" xr6:coauthVersionLast="47" xr6:coauthVersionMax="47" xr10:uidLastSave="{00000000-0000-0000-0000-000000000000}"/>
  <bookViews>
    <workbookView xWindow="14700" yWindow="660" windowWidth="14700" windowHeight="18460" xr2:uid="{D8932C19-433D-644E-8B32-25046DBD08D8}"/>
  </bookViews>
  <sheets>
    <sheet name="pessimistic-lock-800-ngrinder-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9" i="1"/>
  <c r="B33" i="1" s="1"/>
  <c r="B37" i="1" s="1"/>
  <c r="B28" i="1"/>
  <c r="B32" i="1" s="1"/>
  <c r="B36" i="1" s="1"/>
  <c r="B27" i="1"/>
  <c r="B35" i="1" s="1"/>
  <c r="B39" i="1" s="1"/>
  <c r="B26" i="1"/>
  <c r="B34" i="1" s="1"/>
  <c r="B38" i="1" s="1"/>
  <c r="B25" i="1"/>
  <c r="B24" i="1"/>
  <c r="B20" i="1"/>
  <c r="B18" i="1"/>
  <c r="B17" i="1"/>
  <c r="B16" i="1"/>
  <c r="B19" i="1" s="1"/>
  <c r="B21" i="1" s="1"/>
  <c r="B15" i="1"/>
  <c r="C13" i="1"/>
  <c r="C12" i="1"/>
  <c r="C11" i="1"/>
  <c r="C10" i="1"/>
  <c r="B13" i="1"/>
  <c r="B12" i="1"/>
  <c r="B11" i="1"/>
  <c r="B10" i="1"/>
  <c r="A13" i="1"/>
  <c r="A12" i="1"/>
  <c r="A11" i="1"/>
  <c r="A10" i="1"/>
  <c r="B40" i="1" l="1"/>
  <c r="B41" i="1" s="1"/>
  <c r="B44" i="1" s="1"/>
  <c r="B46" i="1" s="1"/>
  <c r="B22" i="1"/>
  <c r="B49" i="1"/>
  <c r="B52" i="1" s="1"/>
  <c r="B53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<sst xmlns="http://schemas.openxmlformats.org/spreadsheetml/2006/main" count="13" uniqueCount="13">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</sst>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539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EF4945B-381C-DC4A-A4A1-96D89771335D}"/>
                </a:ext>
              </a:extLst>
            </xdr:cNvPr>
            <xdr:cNvSpPr txBox="1"/>
          </xdr:nvSpPr>
          <xdr:spPr>
            <a:xfrm>
              <a:off x="0" y="38862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EF4945B-381C-DC4A-A4A1-96D89771335D}"/>
                </a:ext>
              </a:extLst>
            </xdr:cNvPr>
            <xdr:cNvSpPr txBox="1"/>
          </xdr:nvSpPr>
          <xdr:spPr>
            <a:xfrm>
              <a:off x="0" y="38862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1049454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AD0FA75-FDE4-A14E-BFE9-E1BA6B5E6B6F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AD0FA75-FDE4-A14E-BFE9-E1BA6B5E6B6F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0</xdr:rowOff>
    </xdr:from>
    <xdr:ext cx="806503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714DD86-F072-3242-AD74-33CCFF37F667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714DD86-F072-3242-AD74-33CCFF37F667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8</xdr:row>
      <xdr:rowOff>0</xdr:rowOff>
    </xdr:from>
    <xdr:ext cx="2540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DCE5DD4-CCE1-A34D-BA50-9F4C1C549189}"/>
                </a:ext>
              </a:extLst>
            </xdr:cNvPr>
            <xdr:cNvSpPr txBox="1"/>
          </xdr:nvSpPr>
          <xdr:spPr>
            <a:xfrm>
              <a:off x="1" y="20574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DCE5DD4-CCE1-A34D-BA50-9F4C1C549189}"/>
                </a:ext>
              </a:extLst>
            </xdr:cNvPr>
            <xdr:cNvSpPr txBox="1"/>
          </xdr:nvSpPr>
          <xdr:spPr>
            <a:xfrm>
              <a:off x="1" y="20574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0</xdr:rowOff>
    </xdr:from>
    <xdr:ext cx="2540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64CB428-F584-DC4F-9D6A-E81A2CCC58D3}"/>
                </a:ext>
              </a:extLst>
            </xdr:cNvPr>
            <xdr:cNvSpPr txBox="1"/>
          </xdr:nvSpPr>
          <xdr:spPr>
            <a:xfrm>
              <a:off x="1549400" y="20574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64CB428-F584-DC4F-9D6A-E81A2CCC58D3}"/>
                </a:ext>
              </a:extLst>
            </xdr:cNvPr>
            <xdr:cNvSpPr txBox="1"/>
          </xdr:nvSpPr>
          <xdr:spPr>
            <a:xfrm>
              <a:off x="1549400" y="20574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177800" cy="3458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7C499A7-1361-B148-AA39-0418B26D500C}"/>
                </a:ext>
              </a:extLst>
            </xdr:cNvPr>
            <xdr:cNvSpPr txBox="1"/>
          </xdr:nvSpPr>
          <xdr:spPr>
            <a:xfrm>
              <a:off x="2057400" y="20574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7C499A7-1361-B148-AA39-0418B26D500C}"/>
                </a:ext>
              </a:extLst>
            </xdr:cNvPr>
            <xdr:cNvSpPr txBox="1"/>
          </xdr:nvSpPr>
          <xdr:spPr>
            <a:xfrm>
              <a:off x="2057400" y="20574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226785</xdr:rowOff>
    </xdr:from>
    <xdr:ext cx="1303947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975FCD6-A257-1E44-8E9D-388744C9CF86}"/>
                </a:ext>
              </a:extLst>
            </xdr:cNvPr>
            <xdr:cNvSpPr txBox="1"/>
          </xdr:nvSpPr>
          <xdr:spPr>
            <a:xfrm>
              <a:off x="0" y="52559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975FCD6-A257-1E44-8E9D-388744C9CF86}"/>
                </a:ext>
              </a:extLst>
            </xdr:cNvPr>
            <xdr:cNvSpPr txBox="1"/>
          </xdr:nvSpPr>
          <xdr:spPr>
            <a:xfrm>
              <a:off x="0" y="52559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241300" cy="527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C10F748-883B-EA45-BBA0-579C74ADA66C}"/>
                </a:ext>
              </a:extLst>
            </xdr:cNvPr>
            <xdr:cNvSpPr txBox="1"/>
          </xdr:nvSpPr>
          <xdr:spPr>
            <a:xfrm>
              <a:off x="0" y="5486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C10F748-883B-EA45-BBA0-579C74ADA66C}"/>
                </a:ext>
              </a:extLst>
            </xdr:cNvPr>
            <xdr:cNvSpPr txBox="1"/>
          </xdr:nvSpPr>
          <xdr:spPr>
            <a:xfrm>
              <a:off x="0" y="5486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226785</xdr:rowOff>
    </xdr:from>
    <xdr:ext cx="253787" cy="527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B64B9FE-A776-0A41-B0F2-D74F0E59511D}"/>
                </a:ext>
              </a:extLst>
            </xdr:cNvPr>
            <xdr:cNvSpPr txBox="1"/>
          </xdr:nvSpPr>
          <xdr:spPr>
            <a:xfrm>
              <a:off x="0" y="68561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CB64B9FE-A776-0A41-B0F2-D74F0E59511D}"/>
                </a:ext>
              </a:extLst>
            </xdr:cNvPr>
            <xdr:cNvSpPr txBox="1"/>
          </xdr:nvSpPr>
          <xdr:spPr>
            <a:xfrm>
              <a:off x="0" y="68561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1056379" cy="28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1979BEE-4D64-474F-92C8-70C7FACA9F8D}"/>
                </a:ext>
              </a:extLst>
            </xdr:cNvPr>
            <xdr:cNvSpPr txBox="1"/>
          </xdr:nvSpPr>
          <xdr:spPr>
            <a:xfrm>
              <a:off x="0" y="77724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1979BEE-4D64-474F-92C8-70C7FACA9F8D}"/>
                </a:ext>
              </a:extLst>
            </xdr:cNvPr>
            <xdr:cNvSpPr txBox="1"/>
          </xdr:nvSpPr>
          <xdr:spPr>
            <a:xfrm>
              <a:off x="0" y="77724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726930" cy="264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F4D050A-08A2-3649-9F5A-CD79A32EF3AF}"/>
                </a:ext>
              </a:extLst>
            </xdr:cNvPr>
            <xdr:cNvSpPr txBox="1"/>
          </xdr:nvSpPr>
          <xdr:spPr>
            <a:xfrm>
              <a:off x="0" y="86868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F4D050A-08A2-3649-9F5A-CD79A32EF3AF}"/>
                </a:ext>
              </a:extLst>
            </xdr:cNvPr>
            <xdr:cNvSpPr txBox="1"/>
          </xdr:nvSpPr>
          <xdr:spPr>
            <a:xfrm>
              <a:off x="0" y="86868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1014380" cy="244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FD1C230-C93B-064E-AF96-45FE4DDE13FA}"/>
                </a:ext>
              </a:extLst>
            </xdr:cNvPr>
            <xdr:cNvSpPr txBox="1"/>
          </xdr:nvSpPr>
          <xdr:spPr>
            <a:xfrm>
              <a:off x="0" y="96012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FD1C230-C93B-064E-AF96-45FE4DDE13FA}"/>
                </a:ext>
              </a:extLst>
            </xdr:cNvPr>
            <xdr:cNvSpPr txBox="1"/>
          </xdr:nvSpPr>
          <xdr:spPr>
            <a:xfrm>
              <a:off x="0" y="96012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40</xdr:row>
      <xdr:rowOff>0</xdr:rowOff>
    </xdr:from>
    <xdr:ext cx="1759858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E5BA950-2D8B-4149-92D2-28BDE1C33EC3}"/>
                </a:ext>
              </a:extLst>
            </xdr:cNvPr>
            <xdr:cNvSpPr txBox="1"/>
          </xdr:nvSpPr>
          <xdr:spPr>
            <a:xfrm>
              <a:off x="0" y="98298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E5BA950-2D8B-4149-92D2-28BDE1C33EC3}"/>
                </a:ext>
              </a:extLst>
            </xdr:cNvPr>
            <xdr:cNvSpPr txBox="1"/>
          </xdr:nvSpPr>
          <xdr:spPr>
            <a:xfrm>
              <a:off x="0" y="98298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0</xdr:rowOff>
    </xdr:from>
    <xdr:ext cx="2239972" cy="2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3750EF7-9AC9-7A4A-95AB-0ACFE5261976}"/>
                </a:ext>
              </a:extLst>
            </xdr:cNvPr>
            <xdr:cNvSpPr txBox="1"/>
          </xdr:nvSpPr>
          <xdr:spPr>
            <a:xfrm>
              <a:off x="0" y="105156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3750EF7-9AC9-7A4A-95AB-0ACFE5261976}"/>
                </a:ext>
              </a:extLst>
            </xdr:cNvPr>
            <xdr:cNvSpPr txBox="1"/>
          </xdr:nvSpPr>
          <xdr:spPr>
            <a:xfrm>
              <a:off x="0" y="105156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45</xdr:row>
      <xdr:rowOff>0</xdr:rowOff>
    </xdr:from>
    <xdr:ext cx="1559722" cy="5533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5BB65B0-93AD-A842-9A30-0E723D66B9C5}"/>
                </a:ext>
              </a:extLst>
            </xdr:cNvPr>
            <xdr:cNvSpPr txBox="1"/>
          </xdr:nvSpPr>
          <xdr:spPr>
            <a:xfrm>
              <a:off x="0" y="109728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5BB65B0-93AD-A842-9A30-0E723D66B9C5}"/>
                </a:ext>
              </a:extLst>
            </xdr:cNvPr>
            <xdr:cNvSpPr txBox="1"/>
          </xdr:nvSpPr>
          <xdr:spPr>
            <a:xfrm>
              <a:off x="0" y="109728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48</xdr:row>
      <xdr:rowOff>1</xdr:rowOff>
    </xdr:from>
    <xdr:ext cx="1559722" cy="4535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9BBF8FE-5387-374B-9A6E-12EB40BA6832}"/>
                </a:ext>
              </a:extLst>
            </xdr:cNvPr>
            <xdr:cNvSpPr txBox="1"/>
          </xdr:nvSpPr>
          <xdr:spPr>
            <a:xfrm>
              <a:off x="0" y="116586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D9BBF8FE-5387-374B-9A6E-12EB40BA6832}"/>
                </a:ext>
              </a:extLst>
            </xdr:cNvPr>
            <xdr:cNvSpPr txBox="1"/>
          </xdr:nvSpPr>
          <xdr:spPr>
            <a:xfrm>
              <a:off x="0" y="116586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51</xdr:row>
      <xdr:rowOff>0</xdr:rowOff>
    </xdr:from>
    <xdr:ext cx="20717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B200117-A9AD-004E-BFB2-53D5F6B7E3FB}"/>
                </a:ext>
              </a:extLst>
            </xdr:cNvPr>
            <xdr:cNvSpPr txBox="1"/>
          </xdr:nvSpPr>
          <xdr:spPr>
            <a:xfrm>
              <a:off x="0" y="123444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B200117-A9AD-004E-BFB2-53D5F6B7E3FB}"/>
                </a:ext>
              </a:extLst>
            </xdr:cNvPr>
            <xdr:cNvSpPr txBox="1"/>
          </xdr:nvSpPr>
          <xdr:spPr>
            <a:xfrm>
              <a:off x="0" y="123444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0FF2-05CE-D448-86AD-2037A78C46DE}">
  <dimension ref="A1:M53"/>
  <sheetViews>
    <sheetView tabSelected="1" workbookViewId="0">
      <selection activeCell="F9" sqref="F9"/>
    </sheetView>
  </sheetViews>
  <sheetFormatPr baseColWidth="10" defaultRowHeight="18"/>
  <cols>
    <col min="1" max="1" width="23.85546875" customWidth="1"/>
    <col min="2" max="2" width="13.42578125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4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46110.613495370373</v>
      </c>
      <c r="B2">
        <v>711</v>
      </c>
      <c r="C2">
        <v>94</v>
      </c>
      <c r="D2">
        <v>0</v>
      </c>
      <c r="E2">
        <v>349.46800000000002</v>
      </c>
      <c r="F2">
        <v>230.27199999999999</v>
      </c>
      <c r="G2">
        <v>47</v>
      </c>
      <c r="H2">
        <v>81</v>
      </c>
      <c r="I2">
        <v>3807</v>
      </c>
      <c r="J2">
        <v>0</v>
      </c>
      <c r="K2">
        <v>0</v>
      </c>
      <c r="L2">
        <v>78.222999999999999</v>
      </c>
      <c r="M2">
        <v>131.84</v>
      </c>
    </row>
    <row r="3" spans="1:13">
      <c r="A3" s="1">
        <v>46110.613518518519</v>
      </c>
      <c r="B3">
        <v>702</v>
      </c>
      <c r="C3">
        <v>104</v>
      </c>
      <c r="D3">
        <v>0</v>
      </c>
      <c r="E3">
        <v>1124.731</v>
      </c>
      <c r="F3">
        <v>475.11399999999998</v>
      </c>
      <c r="G3">
        <v>52</v>
      </c>
      <c r="H3">
        <v>81</v>
      </c>
      <c r="I3">
        <v>4212</v>
      </c>
      <c r="J3">
        <v>0</v>
      </c>
      <c r="K3">
        <v>0</v>
      </c>
      <c r="L3">
        <v>248.18299999999999</v>
      </c>
      <c r="M3">
        <v>294.096</v>
      </c>
    </row>
    <row r="4" spans="1:13">
      <c r="A4" s="1">
        <v>46110.613541666666</v>
      </c>
      <c r="B4">
        <v>116</v>
      </c>
      <c r="C4">
        <v>486</v>
      </c>
      <c r="D4">
        <v>0</v>
      </c>
      <c r="E4">
        <v>1375.4839999999999</v>
      </c>
      <c r="F4">
        <v>538.80499999999995</v>
      </c>
      <c r="G4">
        <v>243</v>
      </c>
      <c r="H4">
        <v>164.654</v>
      </c>
      <c r="I4">
        <v>40011</v>
      </c>
      <c r="J4">
        <v>484</v>
      </c>
      <c r="K4">
        <v>0</v>
      </c>
      <c r="L4">
        <v>436.28800000000001</v>
      </c>
      <c r="M4">
        <v>547.20000000000005</v>
      </c>
    </row>
    <row r="5" spans="1:13">
      <c r="A5" s="1">
        <v>46110.613564814812</v>
      </c>
      <c r="B5">
        <v>0</v>
      </c>
      <c r="C5">
        <v>116</v>
      </c>
      <c r="D5">
        <v>0</v>
      </c>
      <c r="E5">
        <v>1060.6289999999999</v>
      </c>
      <c r="F5">
        <v>483.62299999999999</v>
      </c>
      <c r="G5">
        <v>58</v>
      </c>
      <c r="H5">
        <v>165</v>
      </c>
      <c r="I5">
        <v>9570</v>
      </c>
      <c r="J5">
        <v>116</v>
      </c>
      <c r="K5">
        <v>0</v>
      </c>
      <c r="L5">
        <v>264.95699999999999</v>
      </c>
      <c r="M5">
        <v>321.50900000000001</v>
      </c>
    </row>
    <row r="10" spans="1:13">
      <c r="A10">
        <f>C2</f>
        <v>94</v>
      </c>
      <c r="B10">
        <f t="shared" ref="B10:C13" si="0">E2</f>
        <v>349.46800000000002</v>
      </c>
      <c r="C10">
        <f t="shared" si="0"/>
        <v>230.27199999999999</v>
      </c>
    </row>
    <row r="11" spans="1:13">
      <c r="A11">
        <f>C3</f>
        <v>104</v>
      </c>
      <c r="B11">
        <f t="shared" si="0"/>
        <v>1124.731</v>
      </c>
      <c r="C11">
        <f t="shared" si="0"/>
        <v>475.11399999999998</v>
      </c>
    </row>
    <row r="12" spans="1:13">
      <c r="A12">
        <f>C4</f>
        <v>486</v>
      </c>
      <c r="B12">
        <f t="shared" si="0"/>
        <v>1375.4839999999999</v>
      </c>
      <c r="C12">
        <f t="shared" si="0"/>
        <v>538.80499999999995</v>
      </c>
    </row>
    <row r="13" spans="1:13">
      <c r="A13">
        <f>C5</f>
        <v>116</v>
      </c>
      <c r="B13">
        <f t="shared" si="0"/>
        <v>1060.6289999999999</v>
      </c>
      <c r="C13">
        <f t="shared" si="0"/>
        <v>483.62299999999999</v>
      </c>
    </row>
    <row r="15" spans="1:13">
      <c r="B15">
        <f>A10*B10</f>
        <v>32849.991999999998</v>
      </c>
    </row>
    <row r="16" spans="1:13">
      <c r="B16">
        <f>A11*B11</f>
        <v>116972.024</v>
      </c>
    </row>
    <row r="17" spans="2:2">
      <c r="B17">
        <f>A12*B12</f>
        <v>668485.22399999993</v>
      </c>
    </row>
    <row r="18" spans="2:2">
      <c r="B18">
        <f>A13*B13</f>
        <v>123032.96399999999</v>
      </c>
    </row>
    <row r="19" spans="2:2">
      <c r="B19">
        <f>SUM(B15:B18)</f>
        <v>941340.20400000003</v>
      </c>
    </row>
    <row r="20" spans="2:2">
      <c r="B20">
        <f>SUM(A10:A13)</f>
        <v>800</v>
      </c>
    </row>
    <row r="21" spans="2:2">
      <c r="B21">
        <f>B19/B20</f>
        <v>1176.6752550000001</v>
      </c>
    </row>
    <row r="22" spans="2:2">
      <c r="B22">
        <f>ROUND(B21,2)</f>
        <v>1176.68</v>
      </c>
    </row>
    <row r="24" spans="2:2">
      <c r="B24">
        <f>POWER(C10,2)</f>
        <v>53025.193983999998</v>
      </c>
    </row>
    <row r="25" spans="2:2">
      <c r="B25">
        <f>POWER(C11,2)</f>
        <v>225733.31299599996</v>
      </c>
    </row>
    <row r="26" spans="2:2">
      <c r="B26">
        <f>POWER(C12,2)</f>
        <v>290310.82802499994</v>
      </c>
    </row>
    <row r="27" spans="2:2">
      <c r="B27">
        <f>POWER(C13,2)</f>
        <v>233891.206129</v>
      </c>
    </row>
    <row r="28" spans="2:2">
      <c r="B28">
        <f>POWER(B10,2)</f>
        <v>122127.88302400001</v>
      </c>
    </row>
    <row r="29" spans="2:2">
      <c r="B29">
        <f>POWER(B11,2)</f>
        <v>1265019.8223609999</v>
      </c>
    </row>
    <row r="30" spans="2:2">
      <c r="B30">
        <f>POWER(B12,2)</f>
        <v>1891956.2342559998</v>
      </c>
    </row>
    <row r="31" spans="2:2">
      <c r="B31">
        <f>POWER(B13,2)</f>
        <v>1124933.8756409998</v>
      </c>
    </row>
    <row r="32" spans="2:2">
      <c r="B32">
        <f>B24+B28</f>
        <v>175153.07700799999</v>
      </c>
    </row>
    <row r="33" spans="2:2">
      <c r="B33">
        <f>B25+B29</f>
        <v>1490753.1353569999</v>
      </c>
    </row>
    <row r="34" spans="2:2">
      <c r="B34">
        <f>B26+B30</f>
        <v>2182267.0622809995</v>
      </c>
    </row>
    <row r="35" spans="2:2">
      <c r="B35">
        <f>B27+B31</f>
        <v>1358825.0817699998</v>
      </c>
    </row>
    <row r="36" spans="2:2">
      <c r="B36">
        <f>A10*B32</f>
        <v>16464389.238752</v>
      </c>
    </row>
    <row r="37" spans="2:2">
      <c r="B37">
        <f>A11*B33</f>
        <v>155038326.07712799</v>
      </c>
    </row>
    <row r="38" spans="2:2">
      <c r="B38">
        <f>A12*B34</f>
        <v>1060581792.2685658</v>
      </c>
    </row>
    <row r="39" spans="2:2">
      <c r="B39">
        <f>A13*B35</f>
        <v>157623709.48531997</v>
      </c>
    </row>
    <row r="40" spans="2:2">
      <c r="B40">
        <f>SUM(B36:B39)</f>
        <v>1389708217.0697656</v>
      </c>
    </row>
    <row r="41" spans="2:2">
      <c r="B41">
        <f>B40/B20</f>
        <v>1737135.2713372069</v>
      </c>
    </row>
    <row r="44" spans="2:2">
      <c r="B44">
        <f>B41-POWER(B21,2)</f>
        <v>352570.6156078917</v>
      </c>
    </row>
    <row r="46" spans="2:2">
      <c r="B46">
        <f>SQRT(LN(1+B44/POWER(B21,2)))</f>
        <v>0.47628940614885923</v>
      </c>
    </row>
    <row r="49" spans="2:2">
      <c r="B49">
        <f>LN(B21)-POWER(B46,2)/2</f>
        <v>6.9570223608946353</v>
      </c>
    </row>
    <row r="52" spans="2:2">
      <c r="B52">
        <f>EXP(B49+1.64485*B46)</f>
        <v>2299.5000083209893</v>
      </c>
    </row>
    <row r="53" spans="2:2">
      <c r="B53">
        <f>ROUND(B52,2)</f>
        <v>2299.5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pessimistic-lock-800-ngrinder-r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2026-03-29T17:42:34Z</dcterms:created>
  <dcterms:modified xsi:type="dcterms:W3CDTF">2026-03-29T21:46:04Z</dcterms:modified>
</cp:coreProperties>
</file>