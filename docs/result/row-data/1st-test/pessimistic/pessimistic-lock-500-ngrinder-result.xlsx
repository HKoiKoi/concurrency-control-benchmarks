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essimistic/"/>
    </mc:Choice>
  </mc:AlternateContent>
  <xr:revisionPtr revIDLastSave="0" documentId="13_ncr:1_{945176E8-EB77-6C40-A831-624AE5E67A63}" xr6:coauthVersionLast="47" xr6:coauthVersionMax="47" xr10:uidLastSave="{00000000-0000-0000-0000-000000000000}"/>
  <bookViews>
    <workbookView xWindow="14700" yWindow="660" windowWidth="14700" windowHeight="18460" xr2:uid="{735AB4FF-0B28-884A-8D84-5B4CF5579A12}"/>
  </bookViews>
  <sheets>
    <sheet name="pessimistic-lock-5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32" i="1"/>
  <c r="E31" i="1"/>
  <c r="E30" i="1"/>
  <c r="E29" i="1"/>
  <c r="E28" i="1"/>
  <c r="E27" i="1"/>
  <c r="E33" i="1" l="1"/>
  <c r="B42" i="1"/>
  <c r="B48" i="1" s="1"/>
  <c r="B41" i="1"/>
  <c r="B40" i="1"/>
  <c r="B39" i="1"/>
  <c r="B38" i="1"/>
  <c r="B37" i="1"/>
  <c r="B36" i="1"/>
  <c r="B35" i="1"/>
  <c r="B47" i="1" s="1"/>
  <c r="B53" i="1" s="1"/>
  <c r="B34" i="1"/>
  <c r="B46" i="1" s="1"/>
  <c r="B52" i="1" s="1"/>
  <c r="B33" i="1"/>
  <c r="B45" i="1" s="1"/>
  <c r="B51" i="1" s="1"/>
  <c r="B32" i="1"/>
  <c r="B44" i="1" s="1"/>
  <c r="B50" i="1" s="1"/>
  <c r="B31" i="1"/>
  <c r="B43" i="1" s="1"/>
  <c r="B49" i="1" s="1"/>
  <c r="B30" i="1"/>
  <c r="B26" i="1"/>
  <c r="B24" i="1"/>
  <c r="B23" i="1"/>
  <c r="B22" i="1"/>
  <c r="B21" i="1"/>
  <c r="B20" i="1"/>
  <c r="B25" i="1" s="1"/>
  <c r="B27" i="1" s="1"/>
  <c r="B19" i="1"/>
  <c r="C17" i="1"/>
  <c r="C16" i="1"/>
  <c r="C15" i="1"/>
  <c r="C14" i="1"/>
  <c r="C13" i="1"/>
  <c r="C12" i="1"/>
  <c r="B17" i="1"/>
  <c r="B16" i="1"/>
  <c r="B15" i="1"/>
  <c r="B14" i="1"/>
  <c r="B13" i="1"/>
  <c r="B12" i="1"/>
  <c r="A17" i="1"/>
  <c r="A16" i="1"/>
  <c r="A15" i="1"/>
  <c r="A14" i="1"/>
  <c r="A13" i="1"/>
  <c r="A12" i="1"/>
  <c r="E25" i="1" l="1"/>
  <c r="B28" i="1"/>
  <c r="B54" i="1"/>
  <c r="B55" i="1" s="1"/>
  <c r="B58" i="1" s="1"/>
  <c r="B60" i="1" s="1"/>
  <c r="B63" i="1" s="1"/>
  <c r="B66" i="1" s="1"/>
  <c r="B67" i="1" s="1"/>
  <c r="E35" i="1" l="1"/>
  <c r="E38" i="1" s="1"/>
  <c r="E39" i="1" s="1"/>
  <c r="E36" i="1" l="1"/>
</calcChain>
</file>

<file path=xl/sharedStrings.xml><?xml version="1.0" encoding="utf-8"?>
<sst xmlns="http://schemas.openxmlformats.org/spreadsheetml/2006/main" count="15" uniqueCount="14">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</sst>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ED9B9FA-CE24-D346-979E-CE42F79FB743}"/>
                </a:ext>
              </a:extLst>
            </xdr:cNvPr>
            <xdr:cNvSpPr txBox="1"/>
          </xdr:nvSpPr>
          <xdr:spPr>
            <a:xfrm>
              <a:off x="0" y="2494643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ED9B9FA-CE24-D346-979E-CE42F79FB743}"/>
                </a:ext>
              </a:extLst>
            </xdr:cNvPr>
            <xdr:cNvSpPr txBox="1"/>
          </xdr:nvSpPr>
          <xdr:spPr>
            <a:xfrm>
              <a:off x="0" y="2494643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9488EF2-2B57-5D46-A494-1B97C5510568}"/>
                </a:ext>
              </a:extLst>
            </xdr:cNvPr>
            <xdr:cNvSpPr txBox="1"/>
          </xdr:nvSpPr>
          <xdr:spPr>
            <a:xfrm>
              <a:off x="22225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9488EF2-2B57-5D46-A494-1B97C5510568}"/>
                </a:ext>
              </a:extLst>
            </xdr:cNvPr>
            <xdr:cNvSpPr txBox="1"/>
          </xdr:nvSpPr>
          <xdr:spPr>
            <a:xfrm>
              <a:off x="22225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5FC568-E25C-744E-94AC-CEA52D7DB698}"/>
                </a:ext>
              </a:extLst>
            </xdr:cNvPr>
            <xdr:cNvSpPr txBox="1"/>
          </xdr:nvSpPr>
          <xdr:spPr>
            <a:xfrm>
              <a:off x="2685143" y="2494643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5FC568-E25C-744E-94AC-CEA52D7DB698}"/>
                </a:ext>
              </a:extLst>
            </xdr:cNvPr>
            <xdr:cNvSpPr txBox="1"/>
          </xdr:nvSpPr>
          <xdr:spPr>
            <a:xfrm>
              <a:off x="2685143" y="2494643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6C8FFE8-BF37-1443-83A1-8CAB79397223}"/>
                </a:ext>
              </a:extLst>
            </xdr:cNvPr>
            <xdr:cNvSpPr txBox="1"/>
          </xdr:nvSpPr>
          <xdr:spPr>
            <a:xfrm>
              <a:off x="0" y="4343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6C8FFE8-BF37-1443-83A1-8CAB79397223}"/>
                </a:ext>
              </a:extLst>
            </xdr:cNvPr>
            <xdr:cNvSpPr txBox="1"/>
          </xdr:nvSpPr>
          <xdr:spPr>
            <a:xfrm>
              <a:off x="0" y="4343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93103EB-5B8A-A648-9DBA-E6218F9ED0EA}"/>
                </a:ext>
              </a:extLst>
            </xdr:cNvPr>
            <xdr:cNvSpPr txBox="1"/>
          </xdr:nvSpPr>
          <xdr:spPr>
            <a:xfrm>
              <a:off x="0" y="57150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93103EB-5B8A-A648-9DBA-E6218F9ED0EA}"/>
                </a:ext>
              </a:extLst>
            </xdr:cNvPr>
            <xdr:cNvSpPr txBox="1"/>
          </xdr:nvSpPr>
          <xdr:spPr>
            <a:xfrm>
              <a:off x="0" y="57150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0D8A64E9-C13A-DA48-98E3-B9DE1BB2FA9A}"/>
                </a:ext>
              </a:extLst>
            </xdr:cNvPr>
            <xdr:cNvSpPr txBox="1"/>
          </xdr:nvSpPr>
          <xdr:spPr>
            <a:xfrm>
              <a:off x="0" y="59436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0D8A64E9-C13A-DA48-98E3-B9DE1BB2FA9A}"/>
                </a:ext>
              </a:extLst>
            </xdr:cNvPr>
            <xdr:cNvSpPr txBox="1"/>
          </xdr:nvSpPr>
          <xdr:spPr>
            <a:xfrm>
              <a:off x="0" y="59436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74B8A1EB-3FAD-194B-BD0C-953D9ED054B1}"/>
                </a:ext>
              </a:extLst>
            </xdr:cNvPr>
            <xdr:cNvSpPr txBox="1"/>
          </xdr:nvSpPr>
          <xdr:spPr>
            <a:xfrm>
              <a:off x="0" y="61722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74B8A1EB-3FAD-194B-BD0C-953D9ED054B1}"/>
                </a:ext>
              </a:extLst>
            </xdr:cNvPr>
            <xdr:cNvSpPr txBox="1"/>
          </xdr:nvSpPr>
          <xdr:spPr>
            <a:xfrm>
              <a:off x="0" y="61722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CC48238-CD68-6A4C-86B5-C548B8689312}"/>
                </a:ext>
              </a:extLst>
            </xdr:cNvPr>
            <xdr:cNvSpPr txBox="1"/>
          </xdr:nvSpPr>
          <xdr:spPr>
            <a:xfrm>
              <a:off x="0" y="68580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CC48238-CD68-6A4C-86B5-C548B8689312}"/>
                </a:ext>
              </a:extLst>
            </xdr:cNvPr>
            <xdr:cNvSpPr txBox="1"/>
          </xdr:nvSpPr>
          <xdr:spPr>
            <a:xfrm>
              <a:off x="0" y="68580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1240573-59ED-504B-90E9-D0483D907C63}"/>
                </a:ext>
              </a:extLst>
            </xdr:cNvPr>
            <xdr:cNvSpPr txBox="1"/>
          </xdr:nvSpPr>
          <xdr:spPr>
            <a:xfrm>
              <a:off x="0" y="8229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1240573-59ED-504B-90E9-D0483D907C63}"/>
                </a:ext>
              </a:extLst>
            </xdr:cNvPr>
            <xdr:cNvSpPr txBox="1"/>
          </xdr:nvSpPr>
          <xdr:spPr>
            <a:xfrm>
              <a:off x="0" y="8229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197821-6E22-3248-96BC-7046940D9350}"/>
                </a:ext>
              </a:extLst>
            </xdr:cNvPr>
            <xdr:cNvSpPr txBox="1"/>
          </xdr:nvSpPr>
          <xdr:spPr>
            <a:xfrm>
              <a:off x="0" y="9601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6197821-6E22-3248-96BC-7046940D9350}"/>
                </a:ext>
              </a:extLst>
            </xdr:cNvPr>
            <xdr:cNvSpPr txBox="1"/>
          </xdr:nvSpPr>
          <xdr:spPr>
            <a:xfrm>
              <a:off x="0" y="96012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3B2AB8A5-766D-1448-BF8B-B8409B0DE70B}"/>
                </a:ext>
              </a:extLst>
            </xdr:cNvPr>
            <xdr:cNvSpPr txBox="1"/>
          </xdr:nvSpPr>
          <xdr:spPr>
            <a:xfrm>
              <a:off x="0" y="10972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3B2AB8A5-766D-1448-BF8B-B8409B0DE70B}"/>
                </a:ext>
              </a:extLst>
            </xdr:cNvPr>
            <xdr:cNvSpPr txBox="1"/>
          </xdr:nvSpPr>
          <xdr:spPr>
            <a:xfrm>
              <a:off x="0" y="10972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82A3AA9-2FA0-0044-9EB7-E40F5F4F0A39}"/>
                </a:ext>
              </a:extLst>
            </xdr:cNvPr>
            <xdr:cNvSpPr txBox="1"/>
          </xdr:nvSpPr>
          <xdr:spPr>
            <a:xfrm>
              <a:off x="0" y="12344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182A3AA9-2FA0-0044-9EB7-E40F5F4F0A39}"/>
                </a:ext>
              </a:extLst>
            </xdr:cNvPr>
            <xdr:cNvSpPr txBox="1"/>
          </xdr:nvSpPr>
          <xdr:spPr>
            <a:xfrm>
              <a:off x="0" y="12344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FD4D891-7389-4348-A561-4AED8984B471}"/>
                </a:ext>
              </a:extLst>
            </xdr:cNvPr>
            <xdr:cNvSpPr txBox="1"/>
          </xdr:nvSpPr>
          <xdr:spPr>
            <a:xfrm>
              <a:off x="0" y="12573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FD4D891-7389-4348-A561-4AED8984B471}"/>
                </a:ext>
              </a:extLst>
            </xdr:cNvPr>
            <xdr:cNvSpPr txBox="1"/>
          </xdr:nvSpPr>
          <xdr:spPr>
            <a:xfrm>
              <a:off x="0" y="12573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BF98A1F-D78D-664C-B1B8-7ED6AB670104}"/>
                </a:ext>
              </a:extLst>
            </xdr:cNvPr>
            <xdr:cNvSpPr txBox="1"/>
          </xdr:nvSpPr>
          <xdr:spPr>
            <a:xfrm>
              <a:off x="0" y="13258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BF98A1F-D78D-664C-B1B8-7ED6AB670104}"/>
                </a:ext>
              </a:extLst>
            </xdr:cNvPr>
            <xdr:cNvSpPr txBox="1"/>
          </xdr:nvSpPr>
          <xdr:spPr>
            <a:xfrm>
              <a:off x="0" y="13258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E2F32A0D-3258-4549-A226-2354B6F73DA0}"/>
                </a:ext>
              </a:extLst>
            </xdr:cNvPr>
            <xdr:cNvSpPr txBox="1"/>
          </xdr:nvSpPr>
          <xdr:spPr>
            <a:xfrm>
              <a:off x="0" y="13716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E2F32A0D-3258-4549-A226-2354B6F73DA0}"/>
                </a:ext>
              </a:extLst>
            </xdr:cNvPr>
            <xdr:cNvSpPr txBox="1"/>
          </xdr:nvSpPr>
          <xdr:spPr>
            <a:xfrm>
              <a:off x="0" y="13716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04C31C9-94F0-A444-A6E3-477AA99F5D3E}"/>
                </a:ext>
              </a:extLst>
            </xdr:cNvPr>
            <xdr:cNvSpPr txBox="1"/>
          </xdr:nvSpPr>
          <xdr:spPr>
            <a:xfrm>
              <a:off x="0" y="144018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04C31C9-94F0-A444-A6E3-477AA99F5D3E}"/>
                </a:ext>
              </a:extLst>
            </xdr:cNvPr>
            <xdr:cNvSpPr txBox="1"/>
          </xdr:nvSpPr>
          <xdr:spPr>
            <a:xfrm>
              <a:off x="0" y="144018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6E01E621-71E3-3B47-A5D0-F1FA04F78CB4}"/>
                </a:ext>
              </a:extLst>
            </xdr:cNvPr>
            <xdr:cNvSpPr txBox="1"/>
          </xdr:nvSpPr>
          <xdr:spPr>
            <a:xfrm>
              <a:off x="0" y="15087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6E01E621-71E3-3B47-A5D0-F1FA04F78CB4}"/>
                </a:ext>
              </a:extLst>
            </xdr:cNvPr>
            <xdr:cNvSpPr txBox="1"/>
          </xdr:nvSpPr>
          <xdr:spPr>
            <a:xfrm>
              <a:off x="0" y="15087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18</xdr:row>
      <xdr:rowOff>0</xdr:rowOff>
    </xdr:from>
    <xdr:ext cx="738151" cy="3550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E6BEF8-B9F4-E34B-8549-6EA3335C6BFF}"/>
                </a:ext>
              </a:extLst>
            </xdr:cNvPr>
            <xdr:cNvSpPr txBox="1"/>
          </xdr:nvSpPr>
          <xdr:spPr>
            <a:xfrm>
              <a:off x="4013200" y="41148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E6BEF8-B9F4-E34B-8549-6EA3335C6BFF}"/>
                </a:ext>
              </a:extLst>
            </xdr:cNvPr>
            <xdr:cNvSpPr txBox="1"/>
          </xdr:nvSpPr>
          <xdr:spPr>
            <a:xfrm>
              <a:off x="4013200" y="41148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(𝑛_𝑖−1) </a:t>
              </a:r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𝑖^2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24</xdr:row>
      <xdr:rowOff>0</xdr:rowOff>
    </xdr:from>
    <xdr:ext cx="1599284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C814E59-DBCB-664C-A318-2C8FC9262AC3}"/>
                </a:ext>
              </a:extLst>
            </xdr:cNvPr>
            <xdr:cNvSpPr txBox="1"/>
          </xdr:nvSpPr>
          <xdr:spPr>
            <a:xfrm>
              <a:off x="4013200" y="54864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𝑤𝑖𝑡h𝑖𝑛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C814E59-DBCB-664C-A318-2C8FC9262AC3}"/>
                </a:ext>
              </a:extLst>
            </xdr:cNvPr>
            <xdr:cNvSpPr txBox="1"/>
          </xdr:nvSpPr>
          <xdr:spPr>
            <a:xfrm>
              <a:off x="4013200" y="54864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𝑆𝑆_𝑤𝑖𝑡ℎ𝑖𝑛=Σ_(𝑖=1)^2 (𝑛_𝑖−1) 𝜎_𝑖^2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26</xdr:row>
      <xdr:rowOff>0</xdr:rowOff>
    </xdr:from>
    <xdr:ext cx="964816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8C81201-F659-4841-BF81-379F8D67281E}"/>
                </a:ext>
              </a:extLst>
            </xdr:cNvPr>
            <xdr:cNvSpPr txBox="1"/>
          </xdr:nvSpPr>
          <xdr:spPr>
            <a:xfrm>
              <a:off x="4013200" y="59436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8C81201-F659-4841-BF81-379F8D67281E}"/>
                </a:ext>
              </a:extLst>
            </xdr:cNvPr>
            <xdr:cNvSpPr txBox="1"/>
          </xdr:nvSpPr>
          <xdr:spPr>
            <a:xfrm>
              <a:off x="4013200" y="59436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32</xdr:row>
      <xdr:rowOff>0</xdr:rowOff>
    </xdr:from>
    <xdr:ext cx="1984902" cy="1867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05B156-AAAF-184E-9DF4-A915F50EEA63}"/>
                </a:ext>
              </a:extLst>
            </xdr:cNvPr>
            <xdr:cNvSpPr txBox="1"/>
          </xdr:nvSpPr>
          <xdr:spPr>
            <a:xfrm>
              <a:off x="4013200" y="73152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𝑏𝑒𝑡𝑤𝑒𝑒𝑛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05B156-AAAF-184E-9DF4-A915F50EEA63}"/>
                </a:ext>
              </a:extLst>
            </xdr:cNvPr>
            <xdr:cNvSpPr txBox="1"/>
          </xdr:nvSpPr>
          <xdr:spPr>
            <a:xfrm>
              <a:off x="4013200" y="73152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𝑆𝑆_𝑏𝑒𝑡𝑤𝑒𝑒𝑛=Σ_(𝑖=1)^𝑘 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34</xdr:row>
      <xdr:rowOff>0</xdr:rowOff>
    </xdr:from>
    <xdr:ext cx="1842235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FFB4E39-846E-2647-AE32-FC0B9CBED9D4}"/>
                </a:ext>
              </a:extLst>
            </xdr:cNvPr>
            <xdr:cNvSpPr txBox="1"/>
          </xdr:nvSpPr>
          <xdr:spPr>
            <a:xfrm>
              <a:off x="4013200" y="77724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within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between</m:t>
                                </m:r>
                              </m:sub>
                            </m:sSub>
                          </m:num>
                          <m:den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N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FFB4E39-846E-2647-AE32-FC0B9CBED9D4}"/>
                </a:ext>
              </a:extLst>
            </xdr:cNvPr>
            <xdr:cNvSpPr txBox="1"/>
          </xdr:nvSpPr>
          <xdr:spPr>
            <a:xfrm>
              <a:off x="4013200" y="77724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total=√((SS_within+SS_between)/(N-1))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37</xdr:row>
      <xdr:rowOff>0</xdr:rowOff>
    </xdr:from>
    <xdr:ext cx="43871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BC733A6-AD9B-6A42-B9D2-C5D6BABF622B}"/>
                </a:ext>
              </a:extLst>
            </xdr:cNvPr>
            <xdr:cNvSpPr txBox="1"/>
          </xdr:nvSpPr>
          <xdr:spPr>
            <a:xfrm>
              <a:off x="4013200" y="84582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BC733A6-AD9B-6A42-B9D2-C5D6BABF622B}"/>
                </a:ext>
              </a:extLst>
            </xdr:cNvPr>
            <xdr:cNvSpPr txBox="1"/>
          </xdr:nvSpPr>
          <xdr:spPr>
            <a:xfrm>
              <a:off x="4013200" y="84582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2𝜎_𝑡𝑜𝑡𝑎𝑙</a:t>
              </a:r>
              <a:endParaRPr lang="en-US" altLang="ko-KR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1A6F-E48D-D148-8541-109E6DBDC2EF}">
  <dimension ref="A1:M67"/>
  <sheetViews>
    <sheetView tabSelected="1" topLeftCell="A6" zoomScaleNormal="100" workbookViewId="0">
      <selection activeCell="D18" sqref="D18:E40"/>
    </sheetView>
  </sheetViews>
  <sheetFormatPr baseColWidth="10" defaultRowHeight="18"/>
  <cols>
    <col min="1" max="1" width="25" customWidth="1"/>
    <col min="2" max="2" width="12.7109375" bestFit="1" customWidth="1"/>
    <col min="3" max="3" width="7.42578125" bestFit="1" customWidth="1"/>
    <col min="4" max="4" width="23.85546875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46110.606504629628</v>
      </c>
      <c r="B2">
        <v>404</v>
      </c>
      <c r="C2">
        <v>96</v>
      </c>
      <c r="D2">
        <v>0</v>
      </c>
      <c r="E2">
        <v>124.104</v>
      </c>
      <c r="F2">
        <v>91.111999999999995</v>
      </c>
      <c r="G2">
        <v>48</v>
      </c>
      <c r="H2">
        <v>81</v>
      </c>
      <c r="I2">
        <v>3888</v>
      </c>
      <c r="J2">
        <v>0</v>
      </c>
      <c r="K2">
        <v>0</v>
      </c>
      <c r="L2">
        <v>35.573</v>
      </c>
      <c r="M2">
        <v>57.832999999999998</v>
      </c>
    </row>
    <row r="3" spans="1:13">
      <c r="A3" s="1">
        <v>46110.606527777774</v>
      </c>
      <c r="B3">
        <v>319</v>
      </c>
      <c r="C3">
        <v>85</v>
      </c>
      <c r="D3">
        <v>0</v>
      </c>
      <c r="E3">
        <v>157.494</v>
      </c>
      <c r="F3">
        <v>101.76900000000001</v>
      </c>
      <c r="G3">
        <v>42.5</v>
      </c>
      <c r="H3">
        <v>81</v>
      </c>
      <c r="I3">
        <v>3442.5</v>
      </c>
      <c r="J3">
        <v>0</v>
      </c>
      <c r="K3">
        <v>0</v>
      </c>
      <c r="L3">
        <v>52.164999999999999</v>
      </c>
      <c r="M3">
        <v>77.718000000000004</v>
      </c>
    </row>
    <row r="4" spans="1:13">
      <c r="A4" s="1">
        <v>46110.606550925928</v>
      </c>
      <c r="B4">
        <v>105</v>
      </c>
      <c r="C4">
        <v>214</v>
      </c>
      <c r="D4">
        <v>0</v>
      </c>
      <c r="E4">
        <v>793.10699999999997</v>
      </c>
      <c r="F4">
        <v>341.76600000000002</v>
      </c>
      <c r="G4">
        <v>107</v>
      </c>
      <c r="H4">
        <v>157.542</v>
      </c>
      <c r="I4">
        <v>16857</v>
      </c>
      <c r="J4">
        <v>195</v>
      </c>
      <c r="K4">
        <v>0</v>
      </c>
      <c r="L4">
        <v>226.33199999999999</v>
      </c>
      <c r="M4">
        <v>325.59800000000001</v>
      </c>
    </row>
    <row r="5" spans="1:13">
      <c r="A5" s="1">
        <v>46110.606574074074</v>
      </c>
      <c r="B5">
        <v>3</v>
      </c>
      <c r="C5">
        <v>102</v>
      </c>
      <c r="D5">
        <v>0</v>
      </c>
      <c r="E5">
        <v>646.19600000000003</v>
      </c>
      <c r="F5">
        <v>265.61500000000001</v>
      </c>
      <c r="G5">
        <v>51</v>
      </c>
      <c r="H5">
        <v>165</v>
      </c>
      <c r="I5">
        <v>8415</v>
      </c>
      <c r="J5">
        <v>102</v>
      </c>
      <c r="K5">
        <v>0</v>
      </c>
      <c r="L5">
        <v>146.137</v>
      </c>
      <c r="M5">
        <v>215.333</v>
      </c>
    </row>
    <row r="6" spans="1:13">
      <c r="A6" s="1">
        <v>46110.60659722222</v>
      </c>
      <c r="B6">
        <v>1</v>
      </c>
      <c r="C6">
        <v>2</v>
      </c>
      <c r="D6">
        <v>0</v>
      </c>
      <c r="E6">
        <v>12.5</v>
      </c>
      <c r="F6">
        <v>0.5</v>
      </c>
      <c r="G6">
        <v>1</v>
      </c>
      <c r="H6">
        <v>165</v>
      </c>
      <c r="I6">
        <v>165</v>
      </c>
      <c r="J6">
        <v>2</v>
      </c>
      <c r="K6">
        <v>0</v>
      </c>
      <c r="L6">
        <v>4.5</v>
      </c>
      <c r="M6">
        <v>5.5</v>
      </c>
    </row>
    <row r="7" spans="1:13">
      <c r="A7" s="1">
        <v>46110.606620370374</v>
      </c>
      <c r="B7">
        <v>0</v>
      </c>
      <c r="C7">
        <v>1</v>
      </c>
      <c r="D7">
        <v>0</v>
      </c>
      <c r="E7">
        <v>12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4</v>
      </c>
      <c r="M7">
        <v>6</v>
      </c>
    </row>
    <row r="11" spans="1:13">
      <c r="I11" t="s">
        <v>13</v>
      </c>
    </row>
    <row r="12" spans="1:13">
      <c r="A12">
        <f t="shared" ref="A12:A17" si="0">C2</f>
        <v>96</v>
      </c>
      <c r="B12">
        <f t="shared" ref="B12:C17" si="1">E2</f>
        <v>124.104</v>
      </c>
      <c r="C12">
        <f t="shared" si="1"/>
        <v>91.111999999999995</v>
      </c>
    </row>
    <row r="13" spans="1:13">
      <c r="A13">
        <f t="shared" si="0"/>
        <v>85</v>
      </c>
      <c r="B13">
        <f t="shared" si="1"/>
        <v>157.494</v>
      </c>
      <c r="C13">
        <f t="shared" si="1"/>
        <v>101.76900000000001</v>
      </c>
    </row>
    <row r="14" spans="1:13">
      <c r="A14">
        <f t="shared" si="0"/>
        <v>214</v>
      </c>
      <c r="B14">
        <f t="shared" si="1"/>
        <v>793.10699999999997</v>
      </c>
      <c r="C14">
        <f t="shared" si="1"/>
        <v>341.76600000000002</v>
      </c>
    </row>
    <row r="15" spans="1:13">
      <c r="A15">
        <f t="shared" si="0"/>
        <v>102</v>
      </c>
      <c r="B15">
        <f t="shared" si="1"/>
        <v>646.19600000000003</v>
      </c>
      <c r="C15">
        <f t="shared" si="1"/>
        <v>265.61500000000001</v>
      </c>
    </row>
    <row r="16" spans="1:13">
      <c r="A16">
        <f t="shared" si="0"/>
        <v>2</v>
      </c>
      <c r="B16">
        <f t="shared" si="1"/>
        <v>12.5</v>
      </c>
      <c r="C16">
        <f t="shared" si="1"/>
        <v>0.5</v>
      </c>
    </row>
    <row r="17" spans="1:8">
      <c r="A17">
        <f t="shared" si="0"/>
        <v>1</v>
      </c>
      <c r="B17">
        <f t="shared" si="1"/>
        <v>12</v>
      </c>
      <c r="C17">
        <f t="shared" si="1"/>
        <v>0</v>
      </c>
    </row>
    <row r="19" spans="1:8">
      <c r="B19">
        <f t="shared" ref="B19:B24" si="2">A12*B12</f>
        <v>11913.984</v>
      </c>
      <c r="E19">
        <f t="shared" ref="E19:E24" si="3">(A12-1)*POWER(C12,2)</f>
        <v>788632.67167999991</v>
      </c>
      <c r="H19" t="s">
        <v>13</v>
      </c>
    </row>
    <row r="20" spans="1:8">
      <c r="B20">
        <f t="shared" si="2"/>
        <v>13386.99</v>
      </c>
      <c r="E20">
        <f t="shared" si="3"/>
        <v>869982.06632400001</v>
      </c>
    </row>
    <row r="21" spans="1:8">
      <c r="B21">
        <f t="shared" si="2"/>
        <v>169724.89799999999</v>
      </c>
      <c r="E21">
        <f t="shared" si="3"/>
        <v>24879251.735028002</v>
      </c>
    </row>
    <row r="22" spans="1:8">
      <c r="B22">
        <f t="shared" si="2"/>
        <v>65911.991999999998</v>
      </c>
      <c r="E22">
        <f t="shared" si="3"/>
        <v>7125684.1507250005</v>
      </c>
    </row>
    <row r="23" spans="1:8">
      <c r="B23">
        <f t="shared" si="2"/>
        <v>25</v>
      </c>
      <c r="E23">
        <f t="shared" si="3"/>
        <v>0.25</v>
      </c>
    </row>
    <row r="24" spans="1:8">
      <c r="B24">
        <f t="shared" si="2"/>
        <v>12</v>
      </c>
      <c r="E24">
        <f t="shared" si="3"/>
        <v>0</v>
      </c>
    </row>
    <row r="25" spans="1:8">
      <c r="B25">
        <f>SUM(B19:B24)</f>
        <v>260974.86399999997</v>
      </c>
      <c r="E25">
        <f>SUM(E19:E24)</f>
        <v>33663550.873757005</v>
      </c>
    </row>
    <row r="26" spans="1:8">
      <c r="B26">
        <f>SUM(A12:A17)</f>
        <v>500</v>
      </c>
    </row>
    <row r="27" spans="1:8">
      <c r="B27">
        <f>B25/B26</f>
        <v>521.94972799999994</v>
      </c>
      <c r="E27">
        <f t="shared" ref="E27:E32" si="4">A12*POWER((B12-B$27),2)</f>
        <v>15194997.435633596</v>
      </c>
    </row>
    <row r="28" spans="1:8">
      <c r="B28">
        <f>ROUND(B27,2)</f>
        <v>521.95000000000005</v>
      </c>
      <c r="E28">
        <f t="shared" si="4"/>
        <v>11290378.102120841</v>
      </c>
    </row>
    <row r="29" spans="1:8">
      <c r="E29">
        <f t="shared" si="4"/>
        <v>15734620.957915148</v>
      </c>
    </row>
    <row r="30" spans="1:8">
      <c r="B30">
        <f t="shared" ref="B30:B35" si="5">POWER(C12,2)</f>
        <v>8301.3965439999993</v>
      </c>
      <c r="E30">
        <f t="shared" si="4"/>
        <v>1574587.8828015965</v>
      </c>
    </row>
    <row r="31" spans="1:8">
      <c r="B31">
        <f t="shared" si="5"/>
        <v>10356.929361</v>
      </c>
      <c r="E31">
        <f t="shared" si="4"/>
        <v>519078.05071854783</v>
      </c>
    </row>
    <row r="32" spans="1:8">
      <c r="B32">
        <f t="shared" si="5"/>
        <v>116803.99875600002</v>
      </c>
      <c r="E32">
        <f t="shared" si="4"/>
        <v>260048.72508727392</v>
      </c>
    </row>
    <row r="33" spans="2:5">
      <c r="B33">
        <f t="shared" si="5"/>
        <v>70551.328225000005</v>
      </c>
      <c r="E33">
        <f>SUM(E27:E32)</f>
        <v>44573711.154277012</v>
      </c>
    </row>
    <row r="34" spans="2:5">
      <c r="B34">
        <f t="shared" si="5"/>
        <v>0.25</v>
      </c>
    </row>
    <row r="35" spans="2:5">
      <c r="B35">
        <f t="shared" si="5"/>
        <v>0</v>
      </c>
      <c r="E35">
        <f>SQRT((E25+E33)/(B26-1))</f>
        <v>395.96477148425868</v>
      </c>
    </row>
    <row r="36" spans="2:5">
      <c r="B36">
        <f t="shared" ref="B36:B41" si="6">POWER(B12,2)</f>
        <v>15401.802815999999</v>
      </c>
      <c r="E36">
        <f>ROUND(E35,2)</f>
        <v>395.96</v>
      </c>
    </row>
    <row r="37" spans="2:5">
      <c r="B37">
        <f t="shared" si="6"/>
        <v>24804.360035999998</v>
      </c>
    </row>
    <row r="38" spans="2:5">
      <c r="B38">
        <f t="shared" si="6"/>
        <v>629018.71344899992</v>
      </c>
      <c r="E38">
        <f>2*E35</f>
        <v>791.92954296851735</v>
      </c>
    </row>
    <row r="39" spans="2:5">
      <c r="B39">
        <f t="shared" si="6"/>
        <v>417569.27041600004</v>
      </c>
      <c r="E39">
        <f>ROUND(E38,2)</f>
        <v>791.93</v>
      </c>
    </row>
    <row r="40" spans="2:5">
      <c r="B40">
        <f t="shared" si="6"/>
        <v>156.25</v>
      </c>
    </row>
    <row r="41" spans="2:5">
      <c r="B41">
        <f t="shared" si="6"/>
        <v>144</v>
      </c>
    </row>
    <row r="42" spans="2:5">
      <c r="B42">
        <f t="shared" ref="B42:B47" si="7">B30+B36</f>
        <v>23703.199359999999</v>
      </c>
    </row>
    <row r="43" spans="2:5">
      <c r="B43">
        <f t="shared" si="7"/>
        <v>35161.289397</v>
      </c>
    </row>
    <row r="44" spans="2:5">
      <c r="B44">
        <f t="shared" si="7"/>
        <v>745822.71220499999</v>
      </c>
    </row>
    <row r="45" spans="2:5">
      <c r="B45">
        <f t="shared" si="7"/>
        <v>488120.59864100005</v>
      </c>
    </row>
    <row r="46" spans="2:5">
      <c r="B46">
        <f t="shared" si="7"/>
        <v>156.5</v>
      </c>
    </row>
    <row r="47" spans="2:5">
      <c r="B47">
        <f t="shared" si="7"/>
        <v>144</v>
      </c>
    </row>
    <row r="48" spans="2:5">
      <c r="B48">
        <f t="shared" ref="B48:B53" si="8">A12*B42</f>
        <v>2275507.1385599999</v>
      </c>
    </row>
    <row r="49" spans="2:6">
      <c r="B49">
        <f t="shared" si="8"/>
        <v>2988709.5987450001</v>
      </c>
    </row>
    <row r="50" spans="2:6">
      <c r="B50">
        <f t="shared" si="8"/>
        <v>159606060.41187</v>
      </c>
    </row>
    <row r="51" spans="2:6">
      <c r="B51">
        <f t="shared" si="8"/>
        <v>49788301.061382003</v>
      </c>
    </row>
    <row r="52" spans="2:6">
      <c r="B52">
        <f t="shared" si="8"/>
        <v>313</v>
      </c>
    </row>
    <row r="53" spans="2:6">
      <c r="B53">
        <f t="shared" si="8"/>
        <v>144</v>
      </c>
    </row>
    <row r="54" spans="2:6">
      <c r="B54">
        <f>SUM(B48:B53)</f>
        <v>214659035.21055698</v>
      </c>
      <c r="F54" s="2"/>
    </row>
    <row r="55" spans="2:6">
      <c r="B55">
        <f>B54/B26</f>
        <v>429318.07042111398</v>
      </c>
    </row>
    <row r="58" spans="2:6">
      <c r="B58">
        <f>B55-POWER(B27,2)</f>
        <v>156886.55186184007</v>
      </c>
    </row>
    <row r="60" spans="2:6">
      <c r="B60">
        <f>SQRT(LN(1+B58/POWER(B27,2)))</f>
        <v>0.67439661373860937</v>
      </c>
    </row>
    <row r="63" spans="2:6">
      <c r="B63">
        <f>LN(B27)-POWER(B60,2)/2</f>
        <v>6.030165880420407</v>
      </c>
    </row>
    <row r="66" spans="2:2">
      <c r="B66">
        <f>EXP(B63+1.64485*B60)</f>
        <v>1260.7312018174432</v>
      </c>
    </row>
    <row r="67" spans="2:2">
      <c r="B67">
        <f>ROUND(B66,2)</f>
        <v>1260.73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pessimistic-lock-500-ngrinder-r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2026-03-29T15:22:49Z</dcterms:created>
  <dcterms:modified xsi:type="dcterms:W3CDTF">2026-03-31T11:22:06Z</dcterms:modified>
</cp:coreProperties>
</file>