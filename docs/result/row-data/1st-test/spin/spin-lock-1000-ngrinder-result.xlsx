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1st-test/spin/"/>
    </mc:Choice>
  </mc:AlternateContent>
  <xr:revisionPtr revIDLastSave="0" documentId="13_ncr:9_{63530EB6-6B11-DA46-B5FE-4CF426721CE8}" xr6:coauthVersionLast="47" xr6:coauthVersionMax="47" xr10:uidLastSave="{00000000-0000-0000-0000-000000000000}"/>
  <bookViews>
    <workbookView xWindow="14700" yWindow="660" windowWidth="14700" windowHeight="18460" xr2:uid="{857D1814-E170-3341-B8B3-9A33B5E6BAD1}"/>
  </bookViews>
  <sheets>
    <sheet name="spin-lock-1000-ngrinder-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B34" i="1"/>
  <c r="B29" i="1"/>
  <c r="B39" i="1" s="1"/>
  <c r="B44" i="1" s="1"/>
  <c r="C15" i="1"/>
  <c r="B31" i="1" s="1"/>
  <c r="B41" i="1" s="1"/>
  <c r="B15" i="1"/>
  <c r="B36" i="1" s="1"/>
  <c r="A15" i="1"/>
  <c r="B21" i="1" s="1"/>
  <c r="C14" i="1"/>
  <c r="B30" i="1" s="1"/>
  <c r="B40" i="1" s="1"/>
  <c r="B45" i="1" s="1"/>
  <c r="B14" i="1"/>
  <c r="A14" i="1"/>
  <c r="B20" i="1" s="1"/>
  <c r="C13" i="1"/>
  <c r="B13" i="1"/>
  <c r="A13" i="1"/>
  <c r="B19" i="1" s="1"/>
  <c r="C12" i="1"/>
  <c r="B28" i="1" s="1"/>
  <c r="B12" i="1"/>
  <c r="B33" i="1" s="1"/>
  <c r="A12" i="1"/>
  <c r="C11" i="1"/>
  <c r="B27" i="1" s="1"/>
  <c r="B11" i="1"/>
  <c r="B17" i="1" s="1"/>
  <c r="A11" i="1"/>
  <c r="B38" i="1" l="1"/>
  <c r="B43" i="1" s="1"/>
  <c r="B46" i="1"/>
  <c r="B18" i="1"/>
  <c r="B22" i="1" s="1"/>
  <c r="B24" i="1" s="1"/>
  <c r="B23" i="1"/>
  <c r="B32" i="1"/>
  <c r="B37" i="1" s="1"/>
  <c r="B42" i="1" s="1"/>
  <c r="B47" i="1" s="1"/>
  <c r="B48" i="1" s="1"/>
  <c r="B51" i="1" s="1"/>
  <c r="B53" i="1" s="1"/>
  <c r="B56" i="1" l="1"/>
  <c r="B59" i="1" s="1"/>
  <c r="B60" i="1" s="1"/>
  <c r="B25" i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<sst xmlns="http://schemas.openxmlformats.org/spreadsheetml/2006/main" count="13" uniqueCount="13">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</sst>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2684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849A6C-59D5-C444-94AD-CBB0E14FCF1D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849A6C-59D5-C444-94AD-CBB0E14FCF1D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9</xdr:row>
      <xdr:rowOff>0</xdr:rowOff>
    </xdr:from>
    <xdr:ext cx="279628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EF0B90A-1848-A54D-A8D8-04FF452556F0}"/>
                </a:ext>
              </a:extLst>
            </xdr:cNvPr>
            <xdr:cNvSpPr txBox="1"/>
          </xdr:nvSpPr>
          <xdr:spPr>
            <a:xfrm>
              <a:off x="21590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EF0B90A-1848-A54D-A8D8-04FF452556F0}"/>
                </a:ext>
              </a:extLst>
            </xdr:cNvPr>
            <xdr:cNvSpPr txBox="1"/>
          </xdr:nvSpPr>
          <xdr:spPr>
            <a:xfrm>
              <a:off x="21590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9</xdr:row>
      <xdr:rowOff>0</xdr:rowOff>
    </xdr:from>
    <xdr:ext cx="185692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43EE090-6C96-6143-A299-33EE4E5B2CF4}"/>
                </a:ext>
              </a:extLst>
            </xdr:cNvPr>
            <xdr:cNvSpPr txBox="1"/>
          </xdr:nvSpPr>
          <xdr:spPr>
            <a:xfrm>
              <a:off x="32893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43EE090-6C96-6143-A299-33EE4E5B2CF4}"/>
                </a:ext>
              </a:extLst>
            </xdr:cNvPr>
            <xdr:cNvSpPr txBox="1"/>
          </xdr:nvSpPr>
          <xdr:spPr>
            <a:xfrm>
              <a:off x="32893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16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1D25E21-E43C-6C40-B962-1CA45E69F4D3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1D25E21-E43C-6C40-B962-1CA45E69F4D3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21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DE53809-D298-464E-BB8F-154787DBF85D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DE53809-D298-464E-BB8F-154787DBF85D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22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0096BE7-891B-ED4C-B9B3-0D30BD41BD33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0096BE7-891B-ED4C-B9B3-0D30BD41BD33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23</xdr:row>
      <xdr:rowOff>0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D90169D-A81D-FE44-B3B4-FF652B52E82E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D90169D-A81D-FE44-B3B4-FF652B52E82E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1623B77-225F-9440-8BB0-3D6E3C6E9E3B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1623B77-225F-9440-8BB0-3D6E3C6E9E3B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31</xdr:row>
      <xdr:rowOff>0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813A-29CC-974D-A664-D71F14DAB218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813A-29CC-974D-A664-D71F14DAB218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36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0EE817B-ACC1-5342-AB92-51C04EC4DCF4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0EE817B-ACC1-5342-AB92-51C04EC4DCF4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E0CAF0A0-84AB-254B-B219-394EE055A03C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E0CAF0A0-84AB-254B-B219-394EE055A03C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46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BECB2A1D-4093-C14F-96E3-451EC25FDCF5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BECB2A1D-4093-C14F-96E3-451EC25FDCF5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47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5045110-53A3-3242-AAC5-6B847E516582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5045110-53A3-3242-AAC5-6B847E516582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50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65F5DDC0-A773-3E41-86FB-F99D41E16A5A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65F5DDC0-A773-3E41-86FB-F99D41E16A5A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52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785B52F-8572-CB49-90F4-FE1761A71FCF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785B52F-8572-CB49-90F4-FE1761A71FCF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55</xdr:row>
      <xdr:rowOff>0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C8CE971-4ADA-974D-B3D5-1B89C8F73F12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C8CE971-4ADA-974D-B3D5-1B89C8F73F12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58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6346DCC6-5AF4-AD4B-BBBE-417CBD0A6D84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6346DCC6-5AF4-AD4B-BBBE-417CBD0A6D84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AD0D-1002-A74B-8DC2-B5891CFC1FFE}">
  <dimension ref="A1:M60"/>
  <sheetViews>
    <sheetView tabSelected="1" topLeftCell="A31" workbookViewId="0">
      <selection activeCell="E46" sqref="E46"/>
    </sheetView>
  </sheetViews>
  <sheetFormatPr baseColWidth="10" defaultRowHeight="18"/>
  <cols>
    <col min="1" max="1" width="25.14062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46110.641273148147</v>
      </c>
      <c r="B2">
        <v>906</v>
      </c>
      <c r="C2">
        <v>123</v>
      </c>
      <c r="D2">
        <v>0</v>
      </c>
      <c r="E2">
        <v>754.423</v>
      </c>
      <c r="F2">
        <v>396.298</v>
      </c>
      <c r="G2">
        <v>61.5</v>
      </c>
      <c r="H2">
        <v>74</v>
      </c>
      <c r="I2">
        <v>4551</v>
      </c>
      <c r="J2">
        <v>0</v>
      </c>
      <c r="K2">
        <v>0</v>
      </c>
      <c r="L2">
        <v>239.691</v>
      </c>
      <c r="M2">
        <v>325.53699999999998</v>
      </c>
    </row>
    <row r="3" spans="1:13">
      <c r="A3" s="1">
        <v>46110.641296296293</v>
      </c>
      <c r="B3">
        <v>740</v>
      </c>
      <c r="C3">
        <v>151</v>
      </c>
      <c r="D3">
        <v>0</v>
      </c>
      <c r="E3">
        <v>887.58900000000006</v>
      </c>
      <c r="F3">
        <v>365.779</v>
      </c>
      <c r="G3">
        <v>75.5</v>
      </c>
      <c r="H3">
        <v>118.596</v>
      </c>
      <c r="I3">
        <v>8954</v>
      </c>
      <c r="J3">
        <v>74</v>
      </c>
      <c r="K3">
        <v>0</v>
      </c>
      <c r="L3">
        <v>296.02600000000001</v>
      </c>
      <c r="M3">
        <v>393.44400000000002</v>
      </c>
    </row>
    <row r="4" spans="1:13">
      <c r="A4" s="1">
        <v>46110.641319444447</v>
      </c>
      <c r="B4">
        <v>408</v>
      </c>
      <c r="C4">
        <v>318</v>
      </c>
      <c r="D4">
        <v>0</v>
      </c>
      <c r="E4">
        <v>1194.9179999999999</v>
      </c>
      <c r="F4">
        <v>518.40599999999995</v>
      </c>
      <c r="G4">
        <v>159</v>
      </c>
      <c r="H4">
        <v>165</v>
      </c>
      <c r="I4">
        <v>26235</v>
      </c>
      <c r="J4">
        <v>318</v>
      </c>
      <c r="K4">
        <v>0</v>
      </c>
      <c r="L4">
        <v>312.61599999999999</v>
      </c>
      <c r="M4">
        <v>404.72</v>
      </c>
    </row>
    <row r="5" spans="1:13">
      <c r="A5" s="1">
        <v>46110.641342592593</v>
      </c>
      <c r="B5">
        <v>101</v>
      </c>
      <c r="C5">
        <v>307</v>
      </c>
      <c r="D5">
        <v>0</v>
      </c>
      <c r="E5">
        <v>1192.046</v>
      </c>
      <c r="F5">
        <v>357.51799999999997</v>
      </c>
      <c r="G5">
        <v>153.5</v>
      </c>
      <c r="H5">
        <v>165</v>
      </c>
      <c r="I5">
        <v>25327.5</v>
      </c>
      <c r="J5">
        <v>307</v>
      </c>
      <c r="K5">
        <v>0</v>
      </c>
      <c r="L5">
        <v>318.63200000000001</v>
      </c>
      <c r="M5">
        <v>396.95100000000002</v>
      </c>
    </row>
    <row r="6" spans="1:13">
      <c r="A6" s="1">
        <v>46110.641365740739</v>
      </c>
      <c r="B6">
        <v>0</v>
      </c>
      <c r="C6">
        <v>101</v>
      </c>
      <c r="D6">
        <v>0</v>
      </c>
      <c r="E6">
        <v>1180.8710000000001</v>
      </c>
      <c r="F6">
        <v>313.22199999999998</v>
      </c>
      <c r="G6">
        <v>50.5</v>
      </c>
      <c r="H6">
        <v>165</v>
      </c>
      <c r="I6">
        <v>8332.5</v>
      </c>
      <c r="J6">
        <v>101</v>
      </c>
      <c r="K6">
        <v>0</v>
      </c>
      <c r="L6">
        <v>247.059</v>
      </c>
      <c r="M6">
        <v>337.30700000000002</v>
      </c>
    </row>
    <row r="11" spans="1:13">
      <c r="A11">
        <f>C2</f>
        <v>123</v>
      </c>
      <c r="B11">
        <f t="shared" ref="B11:C15" si="0">E2</f>
        <v>754.423</v>
      </c>
      <c r="C11">
        <f t="shared" si="0"/>
        <v>396.298</v>
      </c>
    </row>
    <row r="12" spans="1:13">
      <c r="A12">
        <f>C3</f>
        <v>151</v>
      </c>
      <c r="B12">
        <f t="shared" si="0"/>
        <v>887.58900000000006</v>
      </c>
      <c r="C12">
        <f t="shared" si="0"/>
        <v>365.779</v>
      </c>
    </row>
    <row r="13" spans="1:13">
      <c r="A13">
        <f>C4</f>
        <v>318</v>
      </c>
      <c r="B13">
        <f t="shared" si="0"/>
        <v>1194.9179999999999</v>
      </c>
      <c r="C13">
        <f t="shared" si="0"/>
        <v>518.40599999999995</v>
      </c>
    </row>
    <row r="14" spans="1:13">
      <c r="A14">
        <f>C5</f>
        <v>307</v>
      </c>
      <c r="B14">
        <f t="shared" si="0"/>
        <v>1192.046</v>
      </c>
      <c r="C14">
        <f t="shared" si="0"/>
        <v>357.51799999999997</v>
      </c>
    </row>
    <row r="15" spans="1:13">
      <c r="A15">
        <f>C6</f>
        <v>101</v>
      </c>
      <c r="B15">
        <f t="shared" si="0"/>
        <v>1180.8710000000001</v>
      </c>
      <c r="C15">
        <f t="shared" si="0"/>
        <v>313.22199999999998</v>
      </c>
    </row>
    <row r="17" spans="2:2">
      <c r="B17">
        <f>A11*B11</f>
        <v>92794.028999999995</v>
      </c>
    </row>
    <row r="18" spans="2:2">
      <c r="B18">
        <f>A12*B12</f>
        <v>134025.93900000001</v>
      </c>
    </row>
    <row r="19" spans="2:2">
      <c r="B19">
        <f>A13*B13</f>
        <v>379983.92399999994</v>
      </c>
    </row>
    <row r="20" spans="2:2">
      <c r="B20">
        <f>A14*B14</f>
        <v>365958.12200000003</v>
      </c>
    </row>
    <row r="21" spans="2:2">
      <c r="B21">
        <f>A15*B15</f>
        <v>119267.97100000001</v>
      </c>
    </row>
    <row r="22" spans="2:2">
      <c r="B22">
        <f>SUM(B17:B21)</f>
        <v>1092029.9849999999</v>
      </c>
    </row>
    <row r="23" spans="2:2">
      <c r="B23">
        <f>SUM(A11:A15)</f>
        <v>1000</v>
      </c>
    </row>
    <row r="24" spans="2:2">
      <c r="B24">
        <f>B22/B23</f>
        <v>1092.0299849999999</v>
      </c>
    </row>
    <row r="25" spans="2:2">
      <c r="B25">
        <f>ROUND(B24,2)</f>
        <v>1092.03</v>
      </c>
    </row>
    <row r="27" spans="2:2">
      <c r="B27">
        <f>POWER(C11,2)</f>
        <v>157052.104804</v>
      </c>
    </row>
    <row r="28" spans="2:2">
      <c r="B28">
        <f>POWER(C12,2)</f>
        <v>133794.27684099998</v>
      </c>
    </row>
    <row r="29" spans="2:2">
      <c r="B29">
        <f>POWER(C13,2)</f>
        <v>268744.78083599993</v>
      </c>
    </row>
    <row r="30" spans="2:2">
      <c r="B30">
        <f>POWER(C14,2)</f>
        <v>127819.12032399997</v>
      </c>
    </row>
    <row r="31" spans="2:2">
      <c r="B31">
        <f>POWER(C15,2)</f>
        <v>98108.021283999988</v>
      </c>
    </row>
    <row r="32" spans="2:2">
      <c r="B32">
        <f>POWER(B11,2)</f>
        <v>569154.06292900001</v>
      </c>
    </row>
    <row r="33" spans="2:2">
      <c r="B33">
        <f>POWER(B12,2)</f>
        <v>787814.2329210001</v>
      </c>
    </row>
    <row r="34" spans="2:2">
      <c r="B34">
        <f>POWER(B13,2)</f>
        <v>1427829.0267239998</v>
      </c>
    </row>
    <row r="35" spans="2:2">
      <c r="B35">
        <f>POWER(B14,2)</f>
        <v>1420973.6661160002</v>
      </c>
    </row>
    <row r="36" spans="2:2">
      <c r="B36">
        <f>POWER(B15,2)</f>
        <v>1394456.3186410002</v>
      </c>
    </row>
    <row r="37" spans="2:2">
      <c r="B37">
        <f>B27+B32</f>
        <v>726206.16773300001</v>
      </c>
    </row>
    <row r="38" spans="2:2">
      <c r="B38">
        <f>B28+B33</f>
        <v>921608.50976200006</v>
      </c>
    </row>
    <row r="39" spans="2:2">
      <c r="B39">
        <f>B29+B34</f>
        <v>1696573.8075599996</v>
      </c>
    </row>
    <row r="40" spans="2:2">
      <c r="B40">
        <f>B30+B35</f>
        <v>1548792.7864400002</v>
      </c>
    </row>
    <row r="41" spans="2:2">
      <c r="B41">
        <f>B31+B36</f>
        <v>1492564.3399250002</v>
      </c>
    </row>
    <row r="42" spans="2:2">
      <c r="B42">
        <f>A11*B37</f>
        <v>89323358.631159008</v>
      </c>
    </row>
    <row r="43" spans="2:2">
      <c r="B43">
        <f>A12*B38</f>
        <v>139162884.974062</v>
      </c>
    </row>
    <row r="44" spans="2:2">
      <c r="B44">
        <f>A13*B39</f>
        <v>539510470.80407989</v>
      </c>
    </row>
    <row r="45" spans="2:2">
      <c r="B45">
        <f>A14*B40</f>
        <v>475479385.43708003</v>
      </c>
    </row>
    <row r="46" spans="2:2">
      <c r="B46">
        <f>A15*B41</f>
        <v>150748998.33242503</v>
      </c>
    </row>
    <row r="47" spans="2:2">
      <c r="B47">
        <f>SUM(B42:B46)</f>
        <v>1394225098.1788061</v>
      </c>
    </row>
    <row r="48" spans="2:2">
      <c r="B48">
        <f>B47/B23</f>
        <v>1394225.098178806</v>
      </c>
    </row>
    <row r="51" spans="2:2">
      <c r="B51">
        <f>B48-POWER(B24,2)</f>
        <v>201695.61003970611</v>
      </c>
    </row>
    <row r="53" spans="2:2">
      <c r="B53">
        <f>SQRT(LN(1+B51/POWER(B24,2)))</f>
        <v>0.39530001806719489</v>
      </c>
    </row>
    <row r="56" spans="2:2">
      <c r="B56">
        <f>LN(B24)-POWER(B53,2)/2</f>
        <v>6.9176625625771102</v>
      </c>
    </row>
    <row r="59" spans="2:2">
      <c r="B59">
        <f>EXP(B56+1.64485*B53)</f>
        <v>1935.0177862748335</v>
      </c>
    </row>
    <row r="60" spans="2:2">
      <c r="B60">
        <f>ROUND(B59,2)</f>
        <v>1935.02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spin-lock-1000-ngrinder-result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2026-03-29T21:09:56Z</dcterms:created>
  <dcterms:modified xsi:type="dcterms:W3CDTF">2026-03-29T21:11:01Z</dcterms:modified>
</cp:coreProperties>
</file>