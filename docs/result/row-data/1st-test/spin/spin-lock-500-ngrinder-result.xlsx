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1st-test/spin/"/>
    </mc:Choice>
  </mc:AlternateContent>
  <xr:revisionPtr revIDLastSave="0" documentId="13_ncr:9_{95F3AFC6-730F-B445-80D8-9DF64CCAFE98}" xr6:coauthVersionLast="47" xr6:coauthVersionMax="47" xr10:uidLastSave="{00000000-0000-0000-0000-000000000000}"/>
  <bookViews>
    <workbookView xWindow="14700" yWindow="660" windowWidth="14700" windowHeight="18460" xr2:uid="{68C79A2A-1393-D44B-A648-FA88B35795F5}"/>
  </bookViews>
  <sheets>
    <sheet name="spin-lock-500-ngrinder-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35" i="1"/>
  <c r="B47" i="1" s="1"/>
  <c r="B53" i="1" s="1"/>
  <c r="B34" i="1"/>
  <c r="B32" i="1"/>
  <c r="B31" i="1"/>
  <c r="B43" i="1" s="1"/>
  <c r="B24" i="1"/>
  <c r="B21" i="1"/>
  <c r="B20" i="1"/>
  <c r="C17" i="1"/>
  <c r="B17" i="1"/>
  <c r="A17" i="1"/>
  <c r="C16" i="1"/>
  <c r="B16" i="1"/>
  <c r="B40" i="1" s="1"/>
  <c r="A16" i="1"/>
  <c r="B23" i="1" s="1"/>
  <c r="C15" i="1"/>
  <c r="B33" i="1" s="1"/>
  <c r="B15" i="1"/>
  <c r="B39" i="1" s="1"/>
  <c r="A15" i="1"/>
  <c r="B22" i="1" s="1"/>
  <c r="C14" i="1"/>
  <c r="B14" i="1"/>
  <c r="B38" i="1" s="1"/>
  <c r="A14" i="1"/>
  <c r="C13" i="1"/>
  <c r="B13" i="1"/>
  <c r="B37" i="1" s="1"/>
  <c r="A13" i="1"/>
  <c r="C12" i="1"/>
  <c r="B30" i="1" s="1"/>
  <c r="B12" i="1"/>
  <c r="B36" i="1" s="1"/>
  <c r="A12" i="1"/>
  <c r="B19" i="1" s="1"/>
  <c r="B25" i="1" s="1"/>
  <c r="B42" i="1" l="1"/>
  <c r="B44" i="1"/>
  <c r="B50" i="1"/>
  <c r="B45" i="1"/>
  <c r="B49" i="1"/>
  <c r="B46" i="1"/>
  <c r="B52" i="1" s="1"/>
  <c r="B51" i="1"/>
  <c r="B48" i="1"/>
  <c r="B54" i="1" s="1"/>
  <c r="B26" i="1"/>
  <c r="B27" i="1" s="1"/>
  <c r="B28" i="1" l="1"/>
  <c r="B55" i="1"/>
  <c r="B58" i="1" s="1"/>
  <c r="B60" i="1" s="1"/>
  <c r="B63" i="1" s="1"/>
  <c r="B66" i="1" s="1"/>
  <c r="B67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<sst xmlns="http://schemas.openxmlformats.org/spreadsheetml/2006/main" count="13" uniqueCount="13">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</sst>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08D8744-7D8F-1D41-8B9E-DFE0D67C0B14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08D8744-7D8F-1D41-8B9E-DFE0D67C0B14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10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26879E7-6259-904D-886E-60E7D9677711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26879E7-6259-904D-886E-60E7D9677711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FB0D010-E52B-0A40-8BA9-2789047F260B}"/>
                </a:ext>
              </a:extLst>
            </xdr:cNvPr>
            <xdr:cNvSpPr txBox="1"/>
          </xdr:nvSpPr>
          <xdr:spPr>
            <a:xfrm>
              <a:off x="33528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FB0D010-E52B-0A40-8BA9-2789047F260B}"/>
                </a:ext>
              </a:extLst>
            </xdr:cNvPr>
            <xdr:cNvSpPr txBox="1"/>
          </xdr:nvSpPr>
          <xdr:spPr>
            <a:xfrm>
              <a:off x="33528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F9C4105-8D14-B543-AEB3-CDCF336EB09A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F9C4105-8D14-B543-AEB3-CDCF336EB09A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24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145FF2E-0A38-7D48-B39B-48C982078ECA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145FF2E-0A38-7D48-B39B-48C982078ECA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7F91453-3088-804D-A475-B63D405738B4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7F91453-3088-804D-A475-B63D405738B4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FAE8F33-91D0-8F44-8332-452DC0EFCD76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FAE8F33-91D0-8F44-8332-452DC0EFCD76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29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7D62DFC-433F-4E4A-BCEF-3D669521E226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7D62DFC-433F-4E4A-BCEF-3D669521E226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EA0E526-F259-B149-9731-0A4F5440F199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EA0E526-F259-B149-9731-0A4F5440F199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E45AD9D2-1207-E241-9F22-B675195DA725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E45AD9D2-1207-E241-9F22-B675195DA725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4D8E1DBE-676B-354F-96C0-A6C6EDB53A85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4D8E1DBE-676B-354F-96C0-A6C6EDB53A85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53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3585C43-E5A9-714D-820C-E49D1124676E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3585C43-E5A9-714D-820C-E49D1124676E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54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6CC2623-3DC0-404E-86AD-DD0717582474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6CC2623-3DC0-404E-86AD-DD0717582474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57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338A744-1D8D-E04D-BC43-0C739ABBA015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338A744-1D8D-E04D-BC43-0C739ABBA015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59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DB4581F2-C4BF-8741-A6BC-95801F92D027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DB4581F2-C4BF-8741-A6BC-95801F92D027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62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4732F60-70F1-E841-9BD5-C47066EFB2AB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4732F60-70F1-E841-9BD5-C47066EFB2AB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65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649822A-3F66-6341-96A5-69E4568CCD81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649822A-3F66-6341-96A5-69E4568CCD81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7B72-9562-824C-A6A6-491D0474FE0E}">
  <dimension ref="A1:M67"/>
  <sheetViews>
    <sheetView tabSelected="1" topLeftCell="A41" workbookViewId="0">
      <selection activeCell="F55" sqref="F55"/>
    </sheetView>
  </sheetViews>
  <sheetFormatPr baseColWidth="10" defaultRowHeight="18"/>
  <cols>
    <col min="1" max="1" width="25.2851562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46110.62736111111</v>
      </c>
      <c r="B2">
        <v>406</v>
      </c>
      <c r="C2">
        <v>94</v>
      </c>
      <c r="D2">
        <v>0</v>
      </c>
      <c r="E2">
        <v>176.23400000000001</v>
      </c>
      <c r="F2">
        <v>128.01499999999999</v>
      </c>
      <c r="G2">
        <v>47</v>
      </c>
      <c r="H2">
        <v>74</v>
      </c>
      <c r="I2">
        <v>3478</v>
      </c>
      <c r="J2">
        <v>0</v>
      </c>
      <c r="K2">
        <v>0</v>
      </c>
      <c r="L2">
        <v>44.255000000000003</v>
      </c>
      <c r="M2">
        <v>82.605999999999995</v>
      </c>
    </row>
    <row r="3" spans="1:13">
      <c r="A3" s="1">
        <v>46110.627384259256</v>
      </c>
      <c r="B3">
        <v>244</v>
      </c>
      <c r="C3">
        <v>162</v>
      </c>
      <c r="D3">
        <v>0</v>
      </c>
      <c r="E3">
        <v>225.51900000000001</v>
      </c>
      <c r="F3">
        <v>162.84700000000001</v>
      </c>
      <c r="G3">
        <v>81</v>
      </c>
      <c r="H3">
        <v>105.45699999999999</v>
      </c>
      <c r="I3">
        <v>8542</v>
      </c>
      <c r="J3">
        <v>56</v>
      </c>
      <c r="K3">
        <v>0</v>
      </c>
      <c r="L3">
        <v>67.876999999999995</v>
      </c>
      <c r="M3">
        <v>99.006</v>
      </c>
    </row>
    <row r="4" spans="1:13">
      <c r="A4" s="1">
        <v>46110.62740740741</v>
      </c>
      <c r="B4">
        <v>13</v>
      </c>
      <c r="C4">
        <v>231</v>
      </c>
      <c r="D4">
        <v>0</v>
      </c>
      <c r="E4">
        <v>611.11300000000006</v>
      </c>
      <c r="F4">
        <v>374.87400000000002</v>
      </c>
      <c r="G4">
        <v>115.5</v>
      </c>
      <c r="H4">
        <v>165</v>
      </c>
      <c r="I4">
        <v>19057.5</v>
      </c>
      <c r="J4">
        <v>231</v>
      </c>
      <c r="K4">
        <v>0</v>
      </c>
      <c r="L4">
        <v>227.04300000000001</v>
      </c>
      <c r="M4">
        <v>269.255</v>
      </c>
    </row>
    <row r="5" spans="1:13">
      <c r="A5" s="1">
        <v>46110.627430555556</v>
      </c>
      <c r="B5">
        <v>2</v>
      </c>
      <c r="C5">
        <v>11</v>
      </c>
      <c r="D5">
        <v>0</v>
      </c>
      <c r="E5">
        <v>12</v>
      </c>
      <c r="F5">
        <v>2.089</v>
      </c>
      <c r="G5">
        <v>5.5</v>
      </c>
      <c r="H5">
        <v>165</v>
      </c>
      <c r="I5">
        <v>907.5</v>
      </c>
      <c r="J5">
        <v>11</v>
      </c>
      <c r="K5">
        <v>0</v>
      </c>
      <c r="L5">
        <v>3.0910000000000002</v>
      </c>
      <c r="M5">
        <v>4.7270000000000003</v>
      </c>
    </row>
    <row r="6" spans="1:13">
      <c r="A6" s="1">
        <v>46110.627453703702</v>
      </c>
      <c r="B6">
        <v>1</v>
      </c>
      <c r="C6">
        <v>1</v>
      </c>
      <c r="D6">
        <v>0</v>
      </c>
      <c r="E6">
        <v>8</v>
      </c>
      <c r="F6">
        <v>0</v>
      </c>
      <c r="G6">
        <v>0.5</v>
      </c>
      <c r="H6">
        <v>165</v>
      </c>
      <c r="I6">
        <v>82.5</v>
      </c>
      <c r="J6">
        <v>1</v>
      </c>
      <c r="K6">
        <v>0</v>
      </c>
      <c r="L6">
        <v>3</v>
      </c>
      <c r="M6">
        <v>4</v>
      </c>
    </row>
    <row r="7" spans="1:13">
      <c r="A7" s="1">
        <v>46110.627476851849</v>
      </c>
      <c r="B7">
        <v>0</v>
      </c>
      <c r="C7">
        <v>1</v>
      </c>
      <c r="D7">
        <v>0</v>
      </c>
      <c r="E7">
        <v>16</v>
      </c>
      <c r="F7">
        <v>0</v>
      </c>
      <c r="G7">
        <v>0.5</v>
      </c>
      <c r="H7">
        <v>165</v>
      </c>
      <c r="I7">
        <v>82.5</v>
      </c>
      <c r="J7">
        <v>1</v>
      </c>
      <c r="K7">
        <v>0</v>
      </c>
      <c r="L7">
        <v>5</v>
      </c>
      <c r="M7">
        <v>9</v>
      </c>
    </row>
    <row r="12" spans="1:13">
      <c r="A12">
        <f t="shared" ref="A12:A17" si="0">C2</f>
        <v>94</v>
      </c>
      <c r="B12">
        <f t="shared" ref="B12:C17" si="1">E2</f>
        <v>176.23400000000001</v>
      </c>
      <c r="C12">
        <f t="shared" si="1"/>
        <v>128.01499999999999</v>
      </c>
    </row>
    <row r="13" spans="1:13">
      <c r="A13">
        <f t="shared" si="0"/>
        <v>162</v>
      </c>
      <c r="B13">
        <f t="shared" si="1"/>
        <v>225.51900000000001</v>
      </c>
      <c r="C13">
        <f t="shared" si="1"/>
        <v>162.84700000000001</v>
      </c>
    </row>
    <row r="14" spans="1:13">
      <c r="A14">
        <f t="shared" si="0"/>
        <v>231</v>
      </c>
      <c r="B14">
        <f t="shared" si="1"/>
        <v>611.11300000000006</v>
      </c>
      <c r="C14">
        <f t="shared" si="1"/>
        <v>374.87400000000002</v>
      </c>
    </row>
    <row r="15" spans="1:13">
      <c r="A15">
        <f t="shared" si="0"/>
        <v>11</v>
      </c>
      <c r="B15">
        <f t="shared" si="1"/>
        <v>12</v>
      </c>
      <c r="C15">
        <f t="shared" si="1"/>
        <v>2.089</v>
      </c>
    </row>
    <row r="16" spans="1:13">
      <c r="A16">
        <f t="shared" si="0"/>
        <v>1</v>
      </c>
      <c r="B16">
        <f t="shared" si="1"/>
        <v>8</v>
      </c>
      <c r="C16">
        <f t="shared" si="1"/>
        <v>0</v>
      </c>
    </row>
    <row r="17" spans="1:3">
      <c r="A17">
        <f t="shared" si="0"/>
        <v>1</v>
      </c>
      <c r="B17">
        <f t="shared" si="1"/>
        <v>16</v>
      </c>
      <c r="C17">
        <f t="shared" si="1"/>
        <v>0</v>
      </c>
    </row>
    <row r="19" spans="1:3">
      <c r="B19">
        <f t="shared" ref="B19:B24" si="2">A12*B12</f>
        <v>16565.995999999999</v>
      </c>
    </row>
    <row r="20" spans="1:3">
      <c r="B20">
        <f t="shared" si="2"/>
        <v>36534.078000000001</v>
      </c>
    </row>
    <row r="21" spans="1:3">
      <c r="B21">
        <f t="shared" si="2"/>
        <v>141167.103</v>
      </c>
    </row>
    <row r="22" spans="1:3">
      <c r="B22">
        <f t="shared" si="2"/>
        <v>132</v>
      </c>
    </row>
    <row r="23" spans="1:3">
      <c r="B23">
        <f t="shared" si="2"/>
        <v>8</v>
      </c>
    </row>
    <row r="24" spans="1:3">
      <c r="B24">
        <f t="shared" si="2"/>
        <v>16</v>
      </c>
    </row>
    <row r="25" spans="1:3">
      <c r="B25">
        <f>SUM(B19:B24)</f>
        <v>194423.177</v>
      </c>
    </row>
    <row r="26" spans="1:3">
      <c r="B26">
        <f>SUM(A12:A17)</f>
        <v>500</v>
      </c>
    </row>
    <row r="27" spans="1:3">
      <c r="B27">
        <f>B25/B26</f>
        <v>388.84635400000002</v>
      </c>
    </row>
    <row r="28" spans="1:3">
      <c r="B28">
        <f>ROUND(B27,2)</f>
        <v>388.85</v>
      </c>
    </row>
    <row r="30" spans="1:3">
      <c r="B30">
        <f t="shared" ref="B30:B35" si="3">POWER(C12,2)</f>
        <v>16387.840224999996</v>
      </c>
    </row>
    <row r="31" spans="1:3">
      <c r="B31">
        <f t="shared" si="3"/>
        <v>26519.145409000004</v>
      </c>
    </row>
    <row r="32" spans="1:3">
      <c r="B32">
        <f t="shared" si="3"/>
        <v>140530.51587600002</v>
      </c>
    </row>
    <row r="33" spans="2:2">
      <c r="B33">
        <f t="shared" si="3"/>
        <v>4.3639209999999995</v>
      </c>
    </row>
    <row r="34" spans="2:2">
      <c r="B34">
        <f t="shared" si="3"/>
        <v>0</v>
      </c>
    </row>
    <row r="35" spans="2:2">
      <c r="B35">
        <f t="shared" si="3"/>
        <v>0</v>
      </c>
    </row>
    <row r="36" spans="2:2">
      <c r="B36">
        <f t="shared" ref="B36:B41" si="4">POWER(B12,2)</f>
        <v>31058.422756000004</v>
      </c>
    </row>
    <row r="37" spans="2:2">
      <c r="B37">
        <f t="shared" si="4"/>
        <v>50858.819361000002</v>
      </c>
    </row>
    <row r="38" spans="2:2">
      <c r="B38">
        <f t="shared" si="4"/>
        <v>373459.09876900009</v>
      </c>
    </row>
    <row r="39" spans="2:2">
      <c r="B39">
        <f t="shared" si="4"/>
        <v>144</v>
      </c>
    </row>
    <row r="40" spans="2:2">
      <c r="B40">
        <f t="shared" si="4"/>
        <v>64</v>
      </c>
    </row>
    <row r="41" spans="2:2">
      <c r="B41">
        <f t="shared" si="4"/>
        <v>256</v>
      </c>
    </row>
    <row r="42" spans="2:2">
      <c r="B42">
        <f t="shared" ref="B42:B47" si="5">B30+B36</f>
        <v>47446.262981</v>
      </c>
    </row>
    <row r="43" spans="2:2">
      <c r="B43">
        <f t="shared" si="5"/>
        <v>77377.964770000006</v>
      </c>
    </row>
    <row r="44" spans="2:2">
      <c r="B44">
        <f t="shared" si="5"/>
        <v>513989.61464500008</v>
      </c>
    </row>
    <row r="45" spans="2:2">
      <c r="B45">
        <f t="shared" si="5"/>
        <v>148.363921</v>
      </c>
    </row>
    <row r="46" spans="2:2">
      <c r="B46">
        <f t="shared" si="5"/>
        <v>64</v>
      </c>
    </row>
    <row r="47" spans="2:2">
      <c r="B47">
        <f t="shared" si="5"/>
        <v>256</v>
      </c>
    </row>
    <row r="48" spans="2:2">
      <c r="B48">
        <f t="shared" ref="B48:B53" si="6">A12*B42</f>
        <v>4459948.720214</v>
      </c>
    </row>
    <row r="49" spans="2:2">
      <c r="B49">
        <f t="shared" si="6"/>
        <v>12535230.29274</v>
      </c>
    </row>
    <row r="50" spans="2:2">
      <c r="B50">
        <f t="shared" si="6"/>
        <v>118731600.98299502</v>
      </c>
    </row>
    <row r="51" spans="2:2">
      <c r="B51">
        <f t="shared" si="6"/>
        <v>1632.0031309999999</v>
      </c>
    </row>
    <row r="52" spans="2:2">
      <c r="B52">
        <f t="shared" si="6"/>
        <v>64</v>
      </c>
    </row>
    <row r="53" spans="2:2">
      <c r="B53">
        <f t="shared" si="6"/>
        <v>256</v>
      </c>
    </row>
    <row r="54" spans="2:2">
      <c r="B54">
        <f>SUM(B48:B53)</f>
        <v>135728731.99908003</v>
      </c>
    </row>
    <row r="55" spans="2:2">
      <c r="B55">
        <f>B54/B26</f>
        <v>271457.46399816009</v>
      </c>
    </row>
    <row r="58" spans="2:2">
      <c r="B58">
        <f>B55-POWER(B27,2)</f>
        <v>120255.97697906676</v>
      </c>
    </row>
    <row r="60" spans="2:2">
      <c r="B60">
        <f>SQRT(LN(1+B58/POWER(B27,2)))</f>
        <v>0.76497853451177844</v>
      </c>
    </row>
    <row r="63" spans="2:2">
      <c r="B63">
        <f>LN(B27)-POWER(B60,2)/2</f>
        <v>5.6705882095988915</v>
      </c>
    </row>
    <row r="66" spans="2:2">
      <c r="B66">
        <f>EXP(B63+1.64485*B60)</f>
        <v>1021.3322199766538</v>
      </c>
    </row>
    <row r="67" spans="2:2">
      <c r="B67">
        <f>ROUND(B66,2)</f>
        <v>1021.33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spin-lock-500-ngrinder-result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2026-03-29T21:05:59Z</dcterms:created>
  <dcterms:modified xsi:type="dcterms:W3CDTF">2026-03-29T21:07:20Z</dcterms:modified>
</cp:coreProperties>
</file>