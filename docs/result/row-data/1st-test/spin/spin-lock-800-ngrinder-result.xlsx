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1st-test/spin/"/>
    </mc:Choice>
  </mc:AlternateContent>
  <xr:revisionPtr revIDLastSave="0" documentId="13_ncr:9_{EF137504-999E-4246-847D-F8D31A503244}" xr6:coauthVersionLast="47" xr6:coauthVersionMax="47" xr10:uidLastSave="{00000000-0000-0000-0000-000000000000}"/>
  <bookViews>
    <workbookView xWindow="14700" yWindow="660" windowWidth="14700" windowHeight="18460" xr2:uid="{C417D288-F4A3-7047-A013-AC92D7F3AEE7}"/>
  </bookViews>
  <sheets>
    <sheet name="spin-lock-800-ngrinder-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1" l="1"/>
  <c r="B41" i="1"/>
  <c r="B40" i="1"/>
  <c r="B39" i="1"/>
  <c r="B34" i="1"/>
  <c r="B27" i="1"/>
  <c r="B22" i="1"/>
  <c r="C19" i="1"/>
  <c r="B19" i="1"/>
  <c r="B46" i="1" s="1"/>
  <c r="A19" i="1"/>
  <c r="C18" i="1"/>
  <c r="B38" i="1" s="1"/>
  <c r="B18" i="1"/>
  <c r="B45" i="1" s="1"/>
  <c r="A18" i="1"/>
  <c r="B26" i="1" s="1"/>
  <c r="C17" i="1"/>
  <c r="B37" i="1" s="1"/>
  <c r="B17" i="1"/>
  <c r="B44" i="1" s="1"/>
  <c r="A17" i="1"/>
  <c r="B25" i="1" s="1"/>
  <c r="C16" i="1"/>
  <c r="B36" i="1" s="1"/>
  <c r="B16" i="1"/>
  <c r="B43" i="1" s="1"/>
  <c r="A16" i="1"/>
  <c r="C15" i="1"/>
  <c r="B35" i="1" s="1"/>
  <c r="B15" i="1"/>
  <c r="B23" i="1" s="1"/>
  <c r="A15" i="1"/>
  <c r="C14" i="1"/>
  <c r="B14" i="1"/>
  <c r="A14" i="1"/>
  <c r="B55" i="1" s="1"/>
  <c r="C13" i="1"/>
  <c r="B33" i="1" s="1"/>
  <c r="B47" i="1" s="1"/>
  <c r="B13" i="1"/>
  <c r="A13" i="1"/>
  <c r="B54" i="1" s="1"/>
  <c r="B50" i="1" l="1"/>
  <c r="B51" i="1"/>
  <c r="B58" i="1" s="1"/>
  <c r="B53" i="1"/>
  <c r="B60" i="1" s="1"/>
  <c r="B49" i="1"/>
  <c r="B56" i="1" s="1"/>
  <c r="B61" i="1" s="1"/>
  <c r="B62" i="1" s="1"/>
  <c r="B65" i="1" s="1"/>
  <c r="B67" i="1" s="1"/>
  <c r="B57" i="1"/>
  <c r="B52" i="1"/>
  <c r="B59" i="1" s="1"/>
  <c r="B21" i="1"/>
  <c r="B28" i="1" s="1"/>
  <c r="B30" i="1" s="1"/>
  <c r="B24" i="1"/>
  <c r="B29" i="1"/>
  <c r="B42" i="1"/>
  <c r="B31" i="1" l="1"/>
  <c r="B70" i="1"/>
  <c r="B73" i="1" s="1"/>
  <c r="B74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<sst xmlns="http://schemas.openxmlformats.org/spreadsheetml/2006/main" count="13" uniqueCount="13">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</sst>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2684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88ADE8E-D312-5C41-BBBD-993EFC401A38}"/>
                </a:ext>
              </a:extLst>
            </xdr:cNvPr>
            <xdr:cNvSpPr txBox="1"/>
          </xdr:nvSpPr>
          <xdr:spPr>
            <a:xfrm>
              <a:off x="0" y="25146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88ADE8E-D312-5C41-BBBD-993EFC401A38}"/>
                </a:ext>
              </a:extLst>
            </xdr:cNvPr>
            <xdr:cNvSpPr txBox="1"/>
          </xdr:nvSpPr>
          <xdr:spPr>
            <a:xfrm>
              <a:off x="0" y="25146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11</xdr:row>
      <xdr:rowOff>0</xdr:rowOff>
    </xdr:from>
    <xdr:ext cx="279628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295E7AA-688C-9B42-8158-2A49CEB842A2}"/>
                </a:ext>
              </a:extLst>
            </xdr:cNvPr>
            <xdr:cNvSpPr txBox="1"/>
          </xdr:nvSpPr>
          <xdr:spPr>
            <a:xfrm>
              <a:off x="2273300" y="25146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295E7AA-688C-9B42-8158-2A49CEB842A2}"/>
                </a:ext>
              </a:extLst>
            </xdr:cNvPr>
            <xdr:cNvSpPr txBox="1"/>
          </xdr:nvSpPr>
          <xdr:spPr>
            <a:xfrm>
              <a:off x="2273300" y="25146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11</xdr:row>
      <xdr:rowOff>0</xdr:rowOff>
    </xdr:from>
    <xdr:ext cx="185692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0D37ABE-4949-C24D-B310-F6CBC66A8D07}"/>
                </a:ext>
              </a:extLst>
            </xdr:cNvPr>
            <xdr:cNvSpPr txBox="1"/>
          </xdr:nvSpPr>
          <xdr:spPr>
            <a:xfrm>
              <a:off x="3492500" y="25146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0D37ABE-4949-C24D-B310-F6CBC66A8D07}"/>
                </a:ext>
              </a:extLst>
            </xdr:cNvPr>
            <xdr:cNvSpPr txBox="1"/>
          </xdr:nvSpPr>
          <xdr:spPr>
            <a:xfrm>
              <a:off x="3492500" y="25146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20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DDA2716-2BEA-CA47-AC99-DE3626370BDC}"/>
                </a:ext>
              </a:extLst>
            </xdr:cNvPr>
            <xdr:cNvSpPr txBox="1"/>
          </xdr:nvSpPr>
          <xdr:spPr>
            <a:xfrm>
              <a:off x="0" y="45720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DDA2716-2BEA-CA47-AC99-DE3626370BDC}"/>
                </a:ext>
              </a:extLst>
            </xdr:cNvPr>
            <xdr:cNvSpPr txBox="1"/>
          </xdr:nvSpPr>
          <xdr:spPr>
            <a:xfrm>
              <a:off x="0" y="45720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27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DD2593B-D388-404F-B863-4CE6DAE4843F}"/>
                </a:ext>
              </a:extLst>
            </xdr:cNvPr>
            <xdr:cNvSpPr txBox="1"/>
          </xdr:nvSpPr>
          <xdr:spPr>
            <a:xfrm>
              <a:off x="0" y="61722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DD2593B-D388-404F-B863-4CE6DAE4843F}"/>
                </a:ext>
              </a:extLst>
            </xdr:cNvPr>
            <xdr:cNvSpPr txBox="1"/>
          </xdr:nvSpPr>
          <xdr:spPr>
            <a:xfrm>
              <a:off x="0" y="61722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28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1709BFB-E72C-7F41-9327-01D504AA0DEE}"/>
                </a:ext>
              </a:extLst>
            </xdr:cNvPr>
            <xdr:cNvSpPr txBox="1"/>
          </xdr:nvSpPr>
          <xdr:spPr>
            <a:xfrm>
              <a:off x="0" y="64008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1709BFB-E72C-7F41-9327-01D504AA0DEE}"/>
                </a:ext>
              </a:extLst>
            </xdr:cNvPr>
            <xdr:cNvSpPr txBox="1"/>
          </xdr:nvSpPr>
          <xdr:spPr>
            <a:xfrm>
              <a:off x="0" y="64008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29</xdr:row>
      <xdr:rowOff>0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19342AB-E55C-B844-A42E-47C3F60C5C30}"/>
                </a:ext>
              </a:extLst>
            </xdr:cNvPr>
            <xdr:cNvSpPr txBox="1"/>
          </xdr:nvSpPr>
          <xdr:spPr>
            <a:xfrm>
              <a:off x="0" y="66294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19342AB-E55C-B844-A42E-47C3F60C5C30}"/>
                </a:ext>
              </a:extLst>
            </xdr:cNvPr>
            <xdr:cNvSpPr txBox="1"/>
          </xdr:nvSpPr>
          <xdr:spPr>
            <a:xfrm>
              <a:off x="0" y="66294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32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877ABFB-98B0-0949-9ADC-1CF5D9865D8B}"/>
                </a:ext>
              </a:extLst>
            </xdr:cNvPr>
            <xdr:cNvSpPr txBox="1"/>
          </xdr:nvSpPr>
          <xdr:spPr>
            <a:xfrm>
              <a:off x="0" y="73152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877ABFB-98B0-0949-9ADC-1CF5D9865D8B}"/>
                </a:ext>
              </a:extLst>
            </xdr:cNvPr>
            <xdr:cNvSpPr txBox="1"/>
          </xdr:nvSpPr>
          <xdr:spPr>
            <a:xfrm>
              <a:off x="0" y="73152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39</xdr:row>
      <xdr:rowOff>0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3E611B6-6326-F74C-9900-8444EF50615C}"/>
                </a:ext>
              </a:extLst>
            </xdr:cNvPr>
            <xdr:cNvSpPr txBox="1"/>
          </xdr:nvSpPr>
          <xdr:spPr>
            <a:xfrm>
              <a:off x="0" y="89154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3E611B6-6326-F74C-9900-8444EF50615C}"/>
                </a:ext>
              </a:extLst>
            </xdr:cNvPr>
            <xdr:cNvSpPr txBox="1"/>
          </xdr:nvSpPr>
          <xdr:spPr>
            <a:xfrm>
              <a:off x="0" y="89154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46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1E25E823-8746-884D-BA24-8B4789549DE8}"/>
                </a:ext>
              </a:extLst>
            </xdr:cNvPr>
            <xdr:cNvSpPr txBox="1"/>
          </xdr:nvSpPr>
          <xdr:spPr>
            <a:xfrm>
              <a:off x="0" y="10515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1E25E823-8746-884D-BA24-8B4789549DE8}"/>
                </a:ext>
              </a:extLst>
            </xdr:cNvPr>
            <xdr:cNvSpPr txBox="1"/>
          </xdr:nvSpPr>
          <xdr:spPr>
            <a:xfrm>
              <a:off x="0" y="10515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53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11207EA-9FA3-1D4C-BEA0-9EE363B2C809}"/>
                </a:ext>
              </a:extLst>
            </xdr:cNvPr>
            <xdr:cNvSpPr txBox="1"/>
          </xdr:nvSpPr>
          <xdr:spPr>
            <a:xfrm>
              <a:off x="0" y="121158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11207EA-9FA3-1D4C-BEA0-9EE363B2C809}"/>
                </a:ext>
              </a:extLst>
            </xdr:cNvPr>
            <xdr:cNvSpPr txBox="1"/>
          </xdr:nvSpPr>
          <xdr:spPr>
            <a:xfrm>
              <a:off x="0" y="121158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60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E592094-C644-9046-9878-0BBB65F4F23C}"/>
                </a:ext>
              </a:extLst>
            </xdr:cNvPr>
            <xdr:cNvSpPr txBox="1"/>
          </xdr:nvSpPr>
          <xdr:spPr>
            <a:xfrm>
              <a:off x="0" y="137160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E592094-C644-9046-9878-0BBB65F4F23C}"/>
                </a:ext>
              </a:extLst>
            </xdr:cNvPr>
            <xdr:cNvSpPr txBox="1"/>
          </xdr:nvSpPr>
          <xdr:spPr>
            <a:xfrm>
              <a:off x="0" y="137160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61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D3909B3-9782-4D43-B524-9B627559A682}"/>
                </a:ext>
              </a:extLst>
            </xdr:cNvPr>
            <xdr:cNvSpPr txBox="1"/>
          </xdr:nvSpPr>
          <xdr:spPr>
            <a:xfrm>
              <a:off x="0" y="139446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CD3909B3-9782-4D43-B524-9B627559A682}"/>
                </a:ext>
              </a:extLst>
            </xdr:cNvPr>
            <xdr:cNvSpPr txBox="1"/>
          </xdr:nvSpPr>
          <xdr:spPr>
            <a:xfrm>
              <a:off x="0" y="139446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64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5E24B69-3A16-A94A-8235-81CD2092CBBA}"/>
                </a:ext>
              </a:extLst>
            </xdr:cNvPr>
            <xdr:cNvSpPr txBox="1"/>
          </xdr:nvSpPr>
          <xdr:spPr>
            <a:xfrm>
              <a:off x="0" y="146304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05E24B69-3A16-A94A-8235-81CD2092CBBA}"/>
                </a:ext>
              </a:extLst>
            </xdr:cNvPr>
            <xdr:cNvSpPr txBox="1"/>
          </xdr:nvSpPr>
          <xdr:spPr>
            <a:xfrm>
              <a:off x="0" y="146304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66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957BBF5F-5F2F-1141-96E9-34699CB462E9}"/>
                </a:ext>
              </a:extLst>
            </xdr:cNvPr>
            <xdr:cNvSpPr txBox="1"/>
          </xdr:nvSpPr>
          <xdr:spPr>
            <a:xfrm>
              <a:off x="0" y="150876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957BBF5F-5F2F-1141-96E9-34699CB462E9}"/>
                </a:ext>
              </a:extLst>
            </xdr:cNvPr>
            <xdr:cNvSpPr txBox="1"/>
          </xdr:nvSpPr>
          <xdr:spPr>
            <a:xfrm>
              <a:off x="0" y="150876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69</xdr:row>
      <xdr:rowOff>0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9323B5E8-5ED6-1449-B5B4-7BFDBC50DF6D}"/>
                </a:ext>
              </a:extLst>
            </xdr:cNvPr>
            <xdr:cNvSpPr txBox="1"/>
          </xdr:nvSpPr>
          <xdr:spPr>
            <a:xfrm>
              <a:off x="0" y="157734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9323B5E8-5ED6-1449-B5B4-7BFDBC50DF6D}"/>
                </a:ext>
              </a:extLst>
            </xdr:cNvPr>
            <xdr:cNvSpPr txBox="1"/>
          </xdr:nvSpPr>
          <xdr:spPr>
            <a:xfrm>
              <a:off x="0" y="157734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72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438F0EC-0128-3F4A-9684-E0E87DFCAC6B}"/>
                </a:ext>
              </a:extLst>
            </xdr:cNvPr>
            <xdr:cNvSpPr txBox="1"/>
          </xdr:nvSpPr>
          <xdr:spPr>
            <a:xfrm>
              <a:off x="0" y="164592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438F0EC-0128-3F4A-9684-E0E87DFCAC6B}"/>
                </a:ext>
              </a:extLst>
            </xdr:cNvPr>
            <xdr:cNvSpPr txBox="1"/>
          </xdr:nvSpPr>
          <xdr:spPr>
            <a:xfrm>
              <a:off x="0" y="164592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79727-4E9D-C64A-9B36-1768D069C8DD}">
  <dimension ref="A1:M74"/>
  <sheetViews>
    <sheetView tabSelected="1" workbookViewId="0">
      <selection activeCell="E13" sqref="E13"/>
    </sheetView>
  </sheetViews>
  <sheetFormatPr baseColWidth="10" defaultRowHeight="18"/>
  <cols>
    <col min="1" max="1" width="27.4257812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46110.634305555555</v>
      </c>
      <c r="B2">
        <v>706</v>
      </c>
      <c r="C2">
        <v>94</v>
      </c>
      <c r="D2">
        <v>0</v>
      </c>
      <c r="E2">
        <v>526.19100000000003</v>
      </c>
      <c r="F2">
        <v>290.58499999999998</v>
      </c>
      <c r="G2">
        <v>47</v>
      </c>
      <c r="H2">
        <v>74</v>
      </c>
      <c r="I2">
        <v>3478</v>
      </c>
      <c r="J2">
        <v>0</v>
      </c>
      <c r="K2">
        <v>0</v>
      </c>
      <c r="L2">
        <v>95.915000000000006</v>
      </c>
      <c r="M2">
        <v>142.66999999999999</v>
      </c>
    </row>
    <row r="3" spans="1:13">
      <c r="A3" s="1">
        <v>46110.634328703702</v>
      </c>
      <c r="B3">
        <v>700</v>
      </c>
      <c r="C3">
        <v>6</v>
      </c>
      <c r="D3">
        <v>0</v>
      </c>
      <c r="E3">
        <v>9.6669999999999998</v>
      </c>
      <c r="F3">
        <v>1.2470000000000001</v>
      </c>
      <c r="G3">
        <v>3</v>
      </c>
      <c r="H3">
        <v>74</v>
      </c>
      <c r="I3">
        <v>222</v>
      </c>
      <c r="J3">
        <v>0</v>
      </c>
      <c r="K3">
        <v>0</v>
      </c>
      <c r="L3">
        <v>2</v>
      </c>
      <c r="M3">
        <v>3</v>
      </c>
    </row>
    <row r="4" spans="1:13">
      <c r="A4" s="1">
        <v>46110.634351851855</v>
      </c>
      <c r="B4">
        <v>528</v>
      </c>
      <c r="C4">
        <v>192</v>
      </c>
      <c r="D4">
        <v>0</v>
      </c>
      <c r="E4">
        <v>867.65599999999995</v>
      </c>
      <c r="F4">
        <v>428.96499999999997</v>
      </c>
      <c r="G4">
        <v>96</v>
      </c>
      <c r="H4">
        <v>117.604</v>
      </c>
      <c r="I4">
        <v>11290</v>
      </c>
      <c r="J4">
        <v>92</v>
      </c>
      <c r="K4">
        <v>0</v>
      </c>
      <c r="L4">
        <v>191.786</v>
      </c>
      <c r="M4">
        <v>267.98399999999998</v>
      </c>
    </row>
    <row r="5" spans="1:13">
      <c r="A5" s="1">
        <v>46110.634375000001</v>
      </c>
      <c r="B5">
        <v>115</v>
      </c>
      <c r="C5">
        <v>393</v>
      </c>
      <c r="D5">
        <v>0</v>
      </c>
      <c r="E5">
        <v>980.46799999999996</v>
      </c>
      <c r="F5">
        <v>524.64400000000001</v>
      </c>
      <c r="G5">
        <v>196.5</v>
      </c>
      <c r="H5">
        <v>165</v>
      </c>
      <c r="I5">
        <v>32422.5</v>
      </c>
      <c r="J5">
        <v>393</v>
      </c>
      <c r="K5">
        <v>0</v>
      </c>
      <c r="L5">
        <v>246.565</v>
      </c>
      <c r="M5">
        <v>298.08699999999999</v>
      </c>
    </row>
    <row r="6" spans="1:13">
      <c r="A6" s="1">
        <v>46110.634398148148</v>
      </c>
      <c r="B6">
        <v>2</v>
      </c>
      <c r="C6">
        <v>113</v>
      </c>
      <c r="D6">
        <v>0</v>
      </c>
      <c r="E6">
        <v>666.96500000000003</v>
      </c>
      <c r="F6">
        <v>346.66899999999998</v>
      </c>
      <c r="G6">
        <v>56.5</v>
      </c>
      <c r="H6">
        <v>165</v>
      </c>
      <c r="I6">
        <v>9322.5</v>
      </c>
      <c r="J6">
        <v>113</v>
      </c>
      <c r="K6">
        <v>0</v>
      </c>
      <c r="L6">
        <v>122.965</v>
      </c>
      <c r="M6">
        <v>166.66399999999999</v>
      </c>
    </row>
    <row r="7" spans="1:13">
      <c r="A7" s="1">
        <v>46110.634421296294</v>
      </c>
      <c r="B7">
        <v>1</v>
      </c>
      <c r="C7">
        <v>1</v>
      </c>
      <c r="D7">
        <v>0</v>
      </c>
      <c r="E7">
        <v>12</v>
      </c>
      <c r="F7">
        <v>0</v>
      </c>
      <c r="G7">
        <v>0.5</v>
      </c>
      <c r="H7">
        <v>165</v>
      </c>
      <c r="I7">
        <v>82.5</v>
      </c>
      <c r="J7">
        <v>1</v>
      </c>
      <c r="K7">
        <v>0</v>
      </c>
      <c r="L7">
        <v>3</v>
      </c>
      <c r="M7">
        <v>4</v>
      </c>
    </row>
    <row r="8" spans="1:13">
      <c r="A8" s="1">
        <v>46110.634444444448</v>
      </c>
      <c r="B8">
        <v>0</v>
      </c>
      <c r="C8">
        <v>1</v>
      </c>
      <c r="D8">
        <v>0</v>
      </c>
      <c r="E8">
        <v>13</v>
      </c>
      <c r="F8">
        <v>0</v>
      </c>
      <c r="G8">
        <v>0.5</v>
      </c>
      <c r="H8">
        <v>165</v>
      </c>
      <c r="I8">
        <v>82.5</v>
      </c>
      <c r="J8">
        <v>1</v>
      </c>
      <c r="K8">
        <v>0</v>
      </c>
      <c r="L8">
        <v>5</v>
      </c>
      <c r="M8">
        <v>6</v>
      </c>
    </row>
    <row r="13" spans="1:13">
      <c r="A13">
        <f t="shared" ref="A13:A19" si="0">C2</f>
        <v>94</v>
      </c>
      <c r="B13">
        <f t="shared" ref="B13:C19" si="1">E2</f>
        <v>526.19100000000003</v>
      </c>
      <c r="C13">
        <f t="shared" si="1"/>
        <v>290.58499999999998</v>
      </c>
    </row>
    <row r="14" spans="1:13">
      <c r="A14">
        <f t="shared" si="0"/>
        <v>6</v>
      </c>
      <c r="B14">
        <f t="shared" si="1"/>
        <v>9.6669999999999998</v>
      </c>
      <c r="C14">
        <f t="shared" si="1"/>
        <v>1.2470000000000001</v>
      </c>
    </row>
    <row r="15" spans="1:13">
      <c r="A15">
        <f t="shared" si="0"/>
        <v>192</v>
      </c>
      <c r="B15">
        <f t="shared" si="1"/>
        <v>867.65599999999995</v>
      </c>
      <c r="C15">
        <f t="shared" si="1"/>
        <v>428.96499999999997</v>
      </c>
    </row>
    <row r="16" spans="1:13">
      <c r="A16">
        <f t="shared" si="0"/>
        <v>393</v>
      </c>
      <c r="B16">
        <f t="shared" si="1"/>
        <v>980.46799999999996</v>
      </c>
      <c r="C16">
        <f t="shared" si="1"/>
        <v>524.64400000000001</v>
      </c>
    </row>
    <row r="17" spans="1:3">
      <c r="A17">
        <f t="shared" si="0"/>
        <v>113</v>
      </c>
      <c r="B17">
        <f t="shared" si="1"/>
        <v>666.96500000000003</v>
      </c>
      <c r="C17">
        <f t="shared" si="1"/>
        <v>346.66899999999998</v>
      </c>
    </row>
    <row r="18" spans="1:3">
      <c r="A18">
        <f t="shared" si="0"/>
        <v>1</v>
      </c>
      <c r="B18">
        <f t="shared" si="1"/>
        <v>12</v>
      </c>
      <c r="C18">
        <f t="shared" si="1"/>
        <v>0</v>
      </c>
    </row>
    <row r="19" spans="1:3">
      <c r="A19">
        <f t="shared" si="0"/>
        <v>1</v>
      </c>
      <c r="B19">
        <f t="shared" si="1"/>
        <v>13</v>
      </c>
      <c r="C19">
        <f t="shared" si="1"/>
        <v>0</v>
      </c>
    </row>
    <row r="21" spans="1:3">
      <c r="B21">
        <f t="shared" ref="B21:B27" si="2">A13*B13</f>
        <v>49461.954000000005</v>
      </c>
    </row>
    <row r="22" spans="1:3">
      <c r="B22">
        <f t="shared" si="2"/>
        <v>58.001999999999995</v>
      </c>
    </row>
    <row r="23" spans="1:3">
      <c r="B23">
        <f t="shared" si="2"/>
        <v>166589.95199999999</v>
      </c>
    </row>
    <row r="24" spans="1:3">
      <c r="B24">
        <f t="shared" si="2"/>
        <v>385323.924</v>
      </c>
    </row>
    <row r="25" spans="1:3">
      <c r="B25">
        <f t="shared" si="2"/>
        <v>75367.044999999998</v>
      </c>
    </row>
    <row r="26" spans="1:3">
      <c r="B26">
        <f t="shared" si="2"/>
        <v>12</v>
      </c>
    </row>
    <row r="27" spans="1:3">
      <c r="B27">
        <f t="shared" si="2"/>
        <v>13</v>
      </c>
    </row>
    <row r="28" spans="1:3">
      <c r="B28">
        <f>SUM(B21:B27)</f>
        <v>676825.87699999998</v>
      </c>
    </row>
    <row r="29" spans="1:3">
      <c r="B29">
        <f>SUM(A13:A19)</f>
        <v>800</v>
      </c>
    </row>
    <row r="30" spans="1:3">
      <c r="B30">
        <f>B28/B29</f>
        <v>846.03234624999993</v>
      </c>
    </row>
    <row r="31" spans="1:3">
      <c r="B31">
        <f>ROUND(B30,2)</f>
        <v>846.03</v>
      </c>
    </row>
    <row r="33" spans="2:2">
      <c r="B33">
        <f t="shared" ref="B33:B39" si="3">POWER(C13,2)</f>
        <v>84439.642224999989</v>
      </c>
    </row>
    <row r="34" spans="2:2">
      <c r="B34">
        <f t="shared" si="3"/>
        <v>1.5550090000000003</v>
      </c>
    </row>
    <row r="35" spans="2:2">
      <c r="B35">
        <f t="shared" si="3"/>
        <v>184010.97122499999</v>
      </c>
    </row>
    <row r="36" spans="2:2">
      <c r="B36">
        <f t="shared" si="3"/>
        <v>275251.32673600002</v>
      </c>
    </row>
    <row r="37" spans="2:2">
      <c r="B37">
        <f t="shared" si="3"/>
        <v>120179.39556099998</v>
      </c>
    </row>
    <row r="38" spans="2:2">
      <c r="B38">
        <f t="shared" si="3"/>
        <v>0</v>
      </c>
    </row>
    <row r="39" spans="2:2">
      <c r="B39">
        <f t="shared" si="3"/>
        <v>0</v>
      </c>
    </row>
    <row r="40" spans="2:2">
      <c r="B40">
        <f t="shared" ref="B40:B46" si="4">POWER(B13,2)</f>
        <v>276876.96848100005</v>
      </c>
    </row>
    <row r="41" spans="2:2">
      <c r="B41">
        <f t="shared" si="4"/>
        <v>93.450888999999989</v>
      </c>
    </row>
    <row r="42" spans="2:2">
      <c r="B42">
        <f t="shared" si="4"/>
        <v>752826.93433599989</v>
      </c>
    </row>
    <row r="43" spans="2:2">
      <c r="B43">
        <f t="shared" si="4"/>
        <v>961317.4990239999</v>
      </c>
    </row>
    <row r="44" spans="2:2">
      <c r="B44">
        <f t="shared" si="4"/>
        <v>444842.31122500007</v>
      </c>
    </row>
    <row r="45" spans="2:2">
      <c r="B45">
        <f t="shared" si="4"/>
        <v>144</v>
      </c>
    </row>
    <row r="46" spans="2:2">
      <c r="B46">
        <f t="shared" si="4"/>
        <v>169</v>
      </c>
    </row>
    <row r="47" spans="2:2">
      <c r="B47">
        <f t="shared" ref="B47:B53" si="5">B33+B40</f>
        <v>361316.61070600001</v>
      </c>
    </row>
    <row r="48" spans="2:2">
      <c r="B48">
        <f t="shared" si="5"/>
        <v>95.005897999999988</v>
      </c>
    </row>
    <row r="49" spans="2:2">
      <c r="B49">
        <f t="shared" si="5"/>
        <v>936837.90556099988</v>
      </c>
    </row>
    <row r="50" spans="2:2">
      <c r="B50">
        <f t="shared" si="5"/>
        <v>1236568.8257599999</v>
      </c>
    </row>
    <row r="51" spans="2:2">
      <c r="B51">
        <f t="shared" si="5"/>
        <v>565021.70678600005</v>
      </c>
    </row>
    <row r="52" spans="2:2">
      <c r="B52">
        <f t="shared" si="5"/>
        <v>144</v>
      </c>
    </row>
    <row r="53" spans="2:2">
      <c r="B53">
        <f t="shared" si="5"/>
        <v>169</v>
      </c>
    </row>
    <row r="54" spans="2:2">
      <c r="B54">
        <f t="shared" ref="B54:B60" si="6">A13*B47</f>
        <v>33963761.406364001</v>
      </c>
    </row>
    <row r="55" spans="2:2">
      <c r="B55">
        <f t="shared" si="6"/>
        <v>570.0353879999999</v>
      </c>
    </row>
    <row r="56" spans="2:2">
      <c r="B56">
        <f t="shared" si="6"/>
        <v>179872877.86771196</v>
      </c>
    </row>
    <row r="57" spans="2:2">
      <c r="B57">
        <f t="shared" si="6"/>
        <v>485971548.52367997</v>
      </c>
    </row>
    <row r="58" spans="2:2">
      <c r="B58">
        <f t="shared" si="6"/>
        <v>63847452.866818003</v>
      </c>
    </row>
    <row r="59" spans="2:2">
      <c r="B59">
        <f t="shared" si="6"/>
        <v>144</v>
      </c>
    </row>
    <row r="60" spans="2:2">
      <c r="B60">
        <f t="shared" si="6"/>
        <v>169</v>
      </c>
    </row>
    <row r="61" spans="2:2">
      <c r="B61">
        <f>SUM(B54:B60)</f>
        <v>763656523.6999619</v>
      </c>
    </row>
    <row r="62" spans="2:2">
      <c r="B62">
        <f>B61/B29</f>
        <v>954570.65462495235</v>
      </c>
    </row>
    <row r="65" spans="2:2">
      <c r="B65">
        <f>B62-POWER(B30,2)</f>
        <v>238799.92372367263</v>
      </c>
    </row>
    <row r="67" spans="2:2">
      <c r="B67">
        <f>SQRT(LN(1+B65/POWER(B30,2)))</f>
        <v>0.53656477301202576</v>
      </c>
    </row>
    <row r="70" spans="2:2">
      <c r="B70">
        <f>LN(B30)-POWER(B67,2)/2</f>
        <v>6.596606715394647</v>
      </c>
    </row>
    <row r="73" spans="2:2">
      <c r="B73">
        <f>EXP(B70+1.64485*B67)</f>
        <v>1770.7797801037027</v>
      </c>
    </row>
    <row r="74" spans="2:2">
      <c r="B74">
        <f>ROUND(B73,2)</f>
        <v>1770.78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spin-lock-800-ngrinder-result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2026-03-29T21:07:37Z</dcterms:created>
  <dcterms:modified xsi:type="dcterms:W3CDTF">2026-03-29T21:09:26Z</dcterms:modified>
</cp:coreProperties>
</file>