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2nd-test/pub-sub/"/>
    </mc:Choice>
  </mc:AlternateContent>
  <xr:revisionPtr revIDLastSave="0" documentId="13_ncr:9_{3447C04C-8662-B34E-B7B8-541C9CB83C32}" xr6:coauthVersionLast="47" xr6:coauthVersionMax="47" xr10:uidLastSave="{00000000-0000-0000-0000-000000000000}"/>
  <bookViews>
    <workbookView xWindow="14700" yWindow="660" windowWidth="14700" windowHeight="18460" xr2:uid="{6123139E-F78C-8D4A-AAB4-A15A8ACB7F7E}"/>
  </bookViews>
  <sheets>
    <sheet name="pub-sub-lock-1000-ngrinder-res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5" i="1"/>
  <c r="B47" i="1" s="1"/>
  <c r="B53" i="1" s="1"/>
  <c r="B34" i="1"/>
  <c r="B32" i="1"/>
  <c r="B31" i="1"/>
  <c r="B43" i="1" s="1"/>
  <c r="B24" i="1"/>
  <c r="B21" i="1"/>
  <c r="B20" i="1"/>
  <c r="C17" i="1"/>
  <c r="B17" i="1"/>
  <c r="A17" i="1"/>
  <c r="C16" i="1"/>
  <c r="B16" i="1"/>
  <c r="B40" i="1" s="1"/>
  <c r="A16" i="1"/>
  <c r="B23" i="1" s="1"/>
  <c r="C15" i="1"/>
  <c r="B33" i="1" s="1"/>
  <c r="B15" i="1"/>
  <c r="B39" i="1" s="1"/>
  <c r="A15" i="1"/>
  <c r="B22" i="1" s="1"/>
  <c r="C14" i="1"/>
  <c r="B14" i="1"/>
  <c r="B38" i="1" s="1"/>
  <c r="A14" i="1"/>
  <c r="C13" i="1"/>
  <c r="B13" i="1"/>
  <c r="B37" i="1" s="1"/>
  <c r="A13" i="1"/>
  <c r="C12" i="1"/>
  <c r="B30" i="1" s="1"/>
  <c r="B12" i="1"/>
  <c r="B36" i="1" s="1"/>
  <c r="A12" i="1"/>
  <c r="B19" i="1" s="1"/>
  <c r="B25" i="1" l="1"/>
  <c r="B45" i="1"/>
  <c r="B51" i="1" s="1"/>
  <c r="B42" i="1"/>
  <c r="B44" i="1"/>
  <c r="B50" i="1" s="1"/>
  <c r="B49" i="1"/>
  <c r="B46" i="1"/>
  <c r="B52" i="1" s="1"/>
  <c r="B48" i="1"/>
  <c r="B26" i="1"/>
  <c r="B54" i="1" l="1"/>
  <c r="B55" i="1" s="1"/>
  <c r="B27" i="1"/>
  <c r="B28" i="1" l="1"/>
  <c r="B58" i="1"/>
  <c r="B60" i="1" s="1"/>
  <c r="B63" i="1" s="1"/>
  <c r="B66" i="1" s="1"/>
  <c r="B67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<sst xmlns="http://schemas.openxmlformats.org/spreadsheetml/2006/main" count="13" uniqueCount="13">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</sst>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5383959-28C5-7B45-8011-38661F2432AE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5383959-28C5-7B45-8011-38661F2432AE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69A029A-8668-1C49-8D64-CD53D4FD003E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69A029A-8668-1C49-8D64-CD53D4FD003E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7A3666-B910-344E-8B65-643F7666FDEF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7A3666-B910-344E-8B65-643F7666FDEF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CB6D947-68CA-5A4A-92C3-87571103A0AA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CB6D947-68CA-5A4A-92C3-87571103A0AA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24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06F02A4-FADA-2143-9739-F24442C41374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06F02A4-FADA-2143-9739-F24442C41374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337135F-821E-8E46-9CB3-BDA9FB82B34E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337135F-821E-8E46-9CB3-BDA9FB82B34E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527E258-C03F-7D46-996D-5E4664954962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527E258-C03F-7D46-996D-5E4664954962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96F3EE2-E20C-6942-A6D5-3F50EB58C2CB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96F3EE2-E20C-6942-A6D5-3F50EB58C2CB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3851686-8931-DD4B-B61B-64D952DDDF7D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3851686-8931-DD4B-B61B-64D952DDDF7D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26DFB58-F658-DF4F-AA4B-FF5F668BBB04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26DFB58-F658-DF4F-AA4B-FF5F668BBB04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8493B1B-FA22-3A46-A879-F7E595A2A550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8493B1B-FA22-3A46-A879-F7E595A2A550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5B809EF-93B3-2440-BDA0-53B294B94E63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5B809EF-93B3-2440-BDA0-53B294B94E63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54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4C95956-8D31-FB41-AB94-185253F25FA6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4C95956-8D31-FB41-AB94-185253F25FA6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57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9A1495B-C6CC-0542-AA82-E3A07CBD87DD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9A1495B-C6CC-0542-AA82-E3A07CBD87DD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AD05CBB-3F21-6749-8D06-0CB74738210A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AD05CBB-3F21-6749-8D06-0CB74738210A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62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0F0B7C5-EF71-284B-8D48-06D3E3B7FD65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0F0B7C5-EF71-284B-8D48-06D3E3B7FD65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3562A9-0C46-2542-873E-C6CC725EA7B5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3562A9-0C46-2542-873E-C6CC725EA7B5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FD51-5392-6C4E-88A6-1A441797F03F}">
  <dimension ref="A1:M67"/>
  <sheetViews>
    <sheetView tabSelected="1" workbookViewId="0">
      <selection activeCell="E12" sqref="E12"/>
    </sheetView>
  </sheetViews>
  <sheetFormatPr baseColWidth="10" defaultRowHeight="18"/>
  <cols>
    <col min="1" max="1" width="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46110.724618055552</v>
      </c>
      <c r="B2">
        <v>916</v>
      </c>
      <c r="C2">
        <v>363</v>
      </c>
      <c r="D2">
        <v>0</v>
      </c>
      <c r="E2">
        <v>851.04100000000005</v>
      </c>
      <c r="F2">
        <v>491.928</v>
      </c>
      <c r="G2">
        <v>181.5</v>
      </c>
      <c r="H2">
        <v>116.515</v>
      </c>
      <c r="I2">
        <v>21147.5</v>
      </c>
      <c r="J2">
        <v>163</v>
      </c>
      <c r="K2">
        <v>0</v>
      </c>
      <c r="L2">
        <v>195.68899999999999</v>
      </c>
      <c r="M2">
        <v>338.923</v>
      </c>
    </row>
    <row r="3" spans="1:13">
      <c r="A3" s="1">
        <v>46110.724641203706</v>
      </c>
      <c r="B3">
        <v>502</v>
      </c>
      <c r="C3">
        <v>236</v>
      </c>
      <c r="D3">
        <v>0</v>
      </c>
      <c r="E3">
        <v>1502.1949999999999</v>
      </c>
      <c r="F3">
        <v>424.85700000000003</v>
      </c>
      <c r="G3">
        <v>118</v>
      </c>
      <c r="H3">
        <v>165</v>
      </c>
      <c r="I3">
        <v>19470</v>
      </c>
      <c r="J3">
        <v>236</v>
      </c>
      <c r="K3">
        <v>0</v>
      </c>
      <c r="L3">
        <v>342.41899999999998</v>
      </c>
      <c r="M3">
        <v>443.87299999999999</v>
      </c>
    </row>
    <row r="4" spans="1:13">
      <c r="A4" s="1">
        <v>46110.724664351852</v>
      </c>
      <c r="B4">
        <v>400</v>
      </c>
      <c r="C4">
        <v>24</v>
      </c>
      <c r="D4">
        <v>0</v>
      </c>
      <c r="E4">
        <v>649.375</v>
      </c>
      <c r="F4">
        <v>217.489</v>
      </c>
      <c r="G4">
        <v>12</v>
      </c>
      <c r="H4">
        <v>165</v>
      </c>
      <c r="I4">
        <v>1980</v>
      </c>
      <c r="J4">
        <v>24</v>
      </c>
      <c r="K4">
        <v>0</v>
      </c>
      <c r="L4">
        <v>227.708</v>
      </c>
      <c r="M4">
        <v>441.29199999999997</v>
      </c>
    </row>
    <row r="5" spans="1:13">
      <c r="A5" s="1">
        <v>46110.724687499998</v>
      </c>
      <c r="B5">
        <v>10</v>
      </c>
      <c r="C5">
        <v>370</v>
      </c>
      <c r="D5">
        <v>0</v>
      </c>
      <c r="E5">
        <v>990.12699999999995</v>
      </c>
      <c r="F5">
        <v>424.99700000000001</v>
      </c>
      <c r="G5">
        <v>184.5</v>
      </c>
      <c r="H5">
        <v>165</v>
      </c>
      <c r="I5">
        <v>30442.5</v>
      </c>
      <c r="J5">
        <v>369</v>
      </c>
      <c r="K5">
        <v>0</v>
      </c>
      <c r="L5">
        <v>223.642</v>
      </c>
      <c r="M5">
        <v>291.173</v>
      </c>
    </row>
    <row r="6" spans="1:13">
      <c r="A6" s="1">
        <v>46110.724710648145</v>
      </c>
      <c r="B6">
        <v>2</v>
      </c>
      <c r="C6">
        <v>5</v>
      </c>
      <c r="D6">
        <v>0</v>
      </c>
      <c r="E6">
        <v>10.199999999999999</v>
      </c>
      <c r="F6">
        <v>1.9390000000000001</v>
      </c>
      <c r="G6">
        <v>2.5</v>
      </c>
      <c r="H6">
        <v>165</v>
      </c>
      <c r="I6">
        <v>412.5</v>
      </c>
      <c r="J6">
        <v>5</v>
      </c>
      <c r="K6">
        <v>0</v>
      </c>
      <c r="L6">
        <v>3</v>
      </c>
      <c r="M6">
        <v>4.4000000000000004</v>
      </c>
    </row>
    <row r="7" spans="1:13">
      <c r="A7" s="1">
        <v>46110.724733796298</v>
      </c>
      <c r="B7">
        <v>0</v>
      </c>
      <c r="C7">
        <v>2</v>
      </c>
      <c r="D7">
        <v>0</v>
      </c>
      <c r="E7">
        <v>12.5</v>
      </c>
      <c r="F7">
        <v>0.5</v>
      </c>
      <c r="G7">
        <v>1</v>
      </c>
      <c r="H7">
        <v>165</v>
      </c>
      <c r="I7">
        <v>165</v>
      </c>
      <c r="J7">
        <v>2</v>
      </c>
      <c r="K7">
        <v>0</v>
      </c>
      <c r="L7">
        <v>3.5</v>
      </c>
      <c r="M7">
        <v>5</v>
      </c>
    </row>
    <row r="12" spans="1:13">
      <c r="A12">
        <f t="shared" ref="A12:A17" si="0">C2</f>
        <v>363</v>
      </c>
      <c r="B12">
        <f t="shared" ref="B12:C17" si="1">E2</f>
        <v>851.04100000000005</v>
      </c>
      <c r="C12">
        <f t="shared" si="1"/>
        <v>491.928</v>
      </c>
    </row>
    <row r="13" spans="1:13">
      <c r="A13">
        <f t="shared" si="0"/>
        <v>236</v>
      </c>
      <c r="B13">
        <f t="shared" si="1"/>
        <v>1502.1949999999999</v>
      </c>
      <c r="C13">
        <f t="shared" si="1"/>
        <v>424.85700000000003</v>
      </c>
    </row>
    <row r="14" spans="1:13">
      <c r="A14">
        <f t="shared" si="0"/>
        <v>24</v>
      </c>
      <c r="B14">
        <f t="shared" si="1"/>
        <v>649.375</v>
      </c>
      <c r="C14">
        <f t="shared" si="1"/>
        <v>217.489</v>
      </c>
    </row>
    <row r="15" spans="1:13">
      <c r="A15">
        <f t="shared" si="0"/>
        <v>370</v>
      </c>
      <c r="B15">
        <f t="shared" si="1"/>
        <v>990.12699999999995</v>
      </c>
      <c r="C15">
        <f t="shared" si="1"/>
        <v>424.99700000000001</v>
      </c>
    </row>
    <row r="16" spans="1:13">
      <c r="A16">
        <f t="shared" si="0"/>
        <v>5</v>
      </c>
      <c r="B16">
        <f t="shared" si="1"/>
        <v>10.199999999999999</v>
      </c>
      <c r="C16">
        <f t="shared" si="1"/>
        <v>1.9390000000000001</v>
      </c>
    </row>
    <row r="17" spans="1:3">
      <c r="A17">
        <f t="shared" si="0"/>
        <v>2</v>
      </c>
      <c r="B17">
        <f t="shared" si="1"/>
        <v>12.5</v>
      </c>
      <c r="C17">
        <f t="shared" si="1"/>
        <v>0.5</v>
      </c>
    </row>
    <row r="19" spans="1:3">
      <c r="B19">
        <f t="shared" ref="B19:B24" si="2">A12*B12</f>
        <v>308927.88300000003</v>
      </c>
    </row>
    <row r="20" spans="1:3">
      <c r="B20">
        <f t="shared" si="2"/>
        <v>354518.01999999996</v>
      </c>
    </row>
    <row r="21" spans="1:3">
      <c r="B21">
        <f t="shared" si="2"/>
        <v>15585</v>
      </c>
    </row>
    <row r="22" spans="1:3">
      <c r="B22">
        <f t="shared" si="2"/>
        <v>366346.99</v>
      </c>
    </row>
    <row r="23" spans="1:3">
      <c r="B23">
        <f t="shared" si="2"/>
        <v>51</v>
      </c>
    </row>
    <row r="24" spans="1:3">
      <c r="B24">
        <f t="shared" si="2"/>
        <v>25</v>
      </c>
    </row>
    <row r="25" spans="1:3">
      <c r="B25">
        <f>SUM(B19:B24)</f>
        <v>1045453.8929999999</v>
      </c>
    </row>
    <row r="26" spans="1:3">
      <c r="B26">
        <f>SUM(A12:A17)</f>
        <v>1000</v>
      </c>
    </row>
    <row r="27" spans="1:3">
      <c r="B27">
        <f>B25/B26</f>
        <v>1045.4538929999999</v>
      </c>
    </row>
    <row r="28" spans="1:3">
      <c r="B28">
        <f>ROUND(B27,2)</f>
        <v>1045.45</v>
      </c>
    </row>
    <row r="30" spans="1:3">
      <c r="B30">
        <f t="shared" ref="B30:B35" si="3">POWER(C12,2)</f>
        <v>241993.15718400001</v>
      </c>
    </row>
    <row r="31" spans="1:3">
      <c r="B31">
        <f t="shared" si="3"/>
        <v>180503.47044900001</v>
      </c>
    </row>
    <row r="32" spans="1:3">
      <c r="B32">
        <f t="shared" si="3"/>
        <v>47301.465121000001</v>
      </c>
    </row>
    <row r="33" spans="2:2">
      <c r="B33">
        <f t="shared" si="3"/>
        <v>180622.45000900002</v>
      </c>
    </row>
    <row r="34" spans="2:2">
      <c r="B34">
        <f t="shared" si="3"/>
        <v>3.7597210000000003</v>
      </c>
    </row>
    <row r="35" spans="2:2">
      <c r="B35">
        <f t="shared" si="3"/>
        <v>0.25</v>
      </c>
    </row>
    <row r="36" spans="2:2">
      <c r="B36">
        <f t="shared" ref="B36:B41" si="4">POWER(B12,2)</f>
        <v>724270.78368100012</v>
      </c>
    </row>
    <row r="37" spans="2:2">
      <c r="B37">
        <f t="shared" si="4"/>
        <v>2256589.8180249999</v>
      </c>
    </row>
    <row r="38" spans="2:2">
      <c r="B38">
        <f t="shared" si="4"/>
        <v>421687.890625</v>
      </c>
    </row>
    <row r="39" spans="2:2">
      <c r="B39">
        <f t="shared" si="4"/>
        <v>980351.47612899996</v>
      </c>
    </row>
    <row r="40" spans="2:2">
      <c r="B40">
        <f t="shared" si="4"/>
        <v>104.03999999999999</v>
      </c>
    </row>
    <row r="41" spans="2:2">
      <c r="B41">
        <f t="shared" si="4"/>
        <v>156.25</v>
      </c>
    </row>
    <row r="42" spans="2:2">
      <c r="B42">
        <f t="shared" ref="B42:B47" si="5">B30+B36</f>
        <v>966263.94086500013</v>
      </c>
    </row>
    <row r="43" spans="2:2">
      <c r="B43">
        <f t="shared" si="5"/>
        <v>2437093.2884740001</v>
      </c>
    </row>
    <row r="44" spans="2:2">
      <c r="B44">
        <f t="shared" si="5"/>
        <v>468989.35574600002</v>
      </c>
    </row>
    <row r="45" spans="2:2">
      <c r="B45">
        <f t="shared" si="5"/>
        <v>1160973.9261380001</v>
      </c>
    </row>
    <row r="46" spans="2:2">
      <c r="B46">
        <f t="shared" si="5"/>
        <v>107.79972099999999</v>
      </c>
    </row>
    <row r="47" spans="2:2">
      <c r="B47">
        <f t="shared" si="5"/>
        <v>156.5</v>
      </c>
    </row>
    <row r="48" spans="2:2">
      <c r="B48">
        <f t="shared" ref="B48:B53" si="6">A12*B42</f>
        <v>350753810.53399503</v>
      </c>
    </row>
    <row r="49" spans="2:2">
      <c r="B49">
        <f t="shared" si="6"/>
        <v>575154016.07986403</v>
      </c>
    </row>
    <row r="50" spans="2:2">
      <c r="B50">
        <f t="shared" si="6"/>
        <v>11255744.537904</v>
      </c>
    </row>
    <row r="51" spans="2:2">
      <c r="B51">
        <f t="shared" si="6"/>
        <v>429560352.67106003</v>
      </c>
    </row>
    <row r="52" spans="2:2">
      <c r="B52">
        <f t="shared" si="6"/>
        <v>538.998605</v>
      </c>
    </row>
    <row r="53" spans="2:2">
      <c r="B53">
        <f t="shared" si="6"/>
        <v>313</v>
      </c>
    </row>
    <row r="54" spans="2:2">
      <c r="B54">
        <f>SUM(B48:B53)</f>
        <v>1366724775.8214281</v>
      </c>
    </row>
    <row r="55" spans="2:2">
      <c r="B55">
        <f>B54/B26</f>
        <v>1366724.775821428</v>
      </c>
    </row>
    <row r="58" spans="2:2">
      <c r="B58">
        <f>B55-POWER(B27,2)</f>
        <v>273750.93343257275</v>
      </c>
    </row>
    <row r="60" spans="2:2">
      <c r="B60">
        <f>SQRT(LN(1+B58/POWER(B27,2)))</f>
        <v>0.47277365204145277</v>
      </c>
    </row>
    <row r="63" spans="2:2">
      <c r="B63">
        <f>LN(B27)-POWER(B60,2)/2</f>
        <v>6.840448954433513</v>
      </c>
    </row>
    <row r="66" spans="2:2">
      <c r="B66">
        <f>EXP(B63+1.64485*B60)</f>
        <v>2034.6736083461226</v>
      </c>
    </row>
    <row r="67" spans="2:2">
      <c r="B67">
        <f>ROUND(B66,2)</f>
        <v>2034.67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pub-sub-lock-1000-ngrinder-resu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2026-03-29T21:38:15Z</dcterms:created>
  <dcterms:modified xsi:type="dcterms:W3CDTF">2026-03-29T21:39:18Z</dcterms:modified>
</cp:coreProperties>
</file>