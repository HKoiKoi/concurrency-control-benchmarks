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ngja/Projects/concurrency-control-benchmarks/docs/result/row-data/2nd-test/pub-sub/"/>
    </mc:Choice>
  </mc:AlternateContent>
  <xr:revisionPtr revIDLastSave="0" documentId="13_ncr:9_{FE7FC8E8-0B20-3940-98C6-3B30389C9C5F}" xr6:coauthVersionLast="47" xr6:coauthVersionMax="47" xr10:uidLastSave="{00000000-0000-0000-0000-000000000000}"/>
  <bookViews>
    <workbookView xWindow="14700" yWindow="660" windowWidth="14700" windowHeight="18460" xr2:uid="{0CAA6A65-C174-B043-91C7-F4D87FEE2F3B}"/>
  </bookViews>
  <sheets>
    <sheet name="pub-sub-lock-800-ngrinder-resu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0" i="1"/>
  <c r="B28" i="1"/>
  <c r="B27" i="1"/>
  <c r="B35" i="1" s="1"/>
  <c r="B39" i="1" s="1"/>
  <c r="B24" i="1"/>
  <c r="B32" i="1" s="1"/>
  <c r="B18" i="1"/>
  <c r="B17" i="1"/>
  <c r="C13" i="1"/>
  <c r="B13" i="1"/>
  <c r="A13" i="1"/>
  <c r="C12" i="1"/>
  <c r="B26" i="1" s="1"/>
  <c r="B34" i="1" s="1"/>
  <c r="B38" i="1" s="1"/>
  <c r="B12" i="1"/>
  <c r="A12" i="1"/>
  <c r="C11" i="1"/>
  <c r="B25" i="1" s="1"/>
  <c r="B33" i="1" s="1"/>
  <c r="B11" i="1"/>
  <c r="B29" i="1" s="1"/>
  <c r="A11" i="1"/>
  <c r="B16" i="1" s="1"/>
  <c r="C10" i="1"/>
  <c r="B10" i="1"/>
  <c r="A10" i="1"/>
  <c r="B36" i="1" s="1"/>
  <c r="B37" i="1" l="1"/>
  <c r="B40" i="1" s="1"/>
  <c r="B41" i="1" s="1"/>
  <c r="B44" i="1" s="1"/>
  <c r="B46" i="1" s="1"/>
  <c r="B20" i="1"/>
  <c r="B15" i="1"/>
  <c r="B19" i="1" s="1"/>
  <c r="B21" i="1" s="1"/>
  <c r="B22" i="1" l="1"/>
  <c r="B49" i="1"/>
  <c r="B52" i="1" s="1"/>
  <c r="B53" i="1" s="1"/>
</calcChain>
</file>

<file path=xl/sharedStrings.xml><?xml version="1.0" encoding="utf-8"?>
<sst xmlns="http://schemas.openxmlformats.org/spreadsheetml/2006/main" count="13" uniqueCount="13">
  <si>
    <t>DateTime</t>
  </si>
  <si>
    <t>vuser</t>
  </si>
  <si>
    <t>Tests</t>
  </si>
  <si>
    <t>Errors</t>
  </si>
  <si>
    <t>Mean_Test_Time_(ms)</t>
  </si>
  <si>
    <t>Test_Time_Standard_Deviation_(ms)</t>
  </si>
  <si>
    <t>TPS</t>
  </si>
  <si>
    <t>Mean_response_length</t>
  </si>
  <si>
    <t>Response_bytes_per_second</t>
  </si>
  <si>
    <t>Response_errors</t>
  </si>
  <si>
    <t>Mean_time_to_resolve_host</t>
  </si>
  <si>
    <t>Mean_time_to_establish_connection</t>
  </si>
  <si>
    <t>Mean_time_to_first_byte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</si>
</sst>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/m/d\ h:mm:s"/>
  </numFmts>
  <fonts count="19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2"/>
      <color rgb="FF006100"/>
      <name val="맑은 고딕"/>
      <family val="2"/>
      <charset val="129"/>
      <scheme val="minor"/>
    </font>
    <font>
      <sz val="12"/>
      <color rgb="FF9C0006"/>
      <name val="맑은 고딕"/>
      <family val="2"/>
      <charset val="129"/>
      <scheme val="minor"/>
    </font>
    <font>
      <sz val="12"/>
      <color rgb="FF9C5700"/>
      <name val="맑은 고딕"/>
      <family val="2"/>
      <charset val="129"/>
      <scheme val="minor"/>
    </font>
    <font>
      <sz val="12"/>
      <color rgb="FF3F3F76"/>
      <name val="맑은 고딕"/>
      <family val="2"/>
      <charset val="129"/>
      <scheme val="minor"/>
    </font>
    <font>
      <b/>
      <sz val="12"/>
      <color rgb="FF3F3F3F"/>
      <name val="맑은 고딕"/>
      <family val="2"/>
      <charset val="129"/>
      <scheme val="minor"/>
    </font>
    <font>
      <b/>
      <sz val="12"/>
      <color rgb="FFFA7D00"/>
      <name val="맑은 고딕"/>
      <family val="2"/>
      <charset val="129"/>
      <scheme val="minor"/>
    </font>
    <font>
      <sz val="12"/>
      <color rgb="FFFA7D00"/>
      <name val="맑은 고딕"/>
      <family val="2"/>
      <charset val="129"/>
      <scheme val="minor"/>
    </font>
    <font>
      <b/>
      <sz val="12"/>
      <color theme="0"/>
      <name val="맑은 고딕"/>
      <family val="2"/>
      <charset val="129"/>
      <scheme val="minor"/>
    </font>
    <font>
      <sz val="12"/>
      <color rgb="FFFF0000"/>
      <name val="맑은 고딕"/>
      <family val="2"/>
      <charset val="129"/>
      <scheme val="minor"/>
    </font>
    <font>
      <i/>
      <sz val="12"/>
      <color rgb="FF7F7F7F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12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453907" cy="3459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403744B-4230-F440-A693-AE9486D791BB}"/>
                </a:ext>
              </a:extLst>
            </xdr:cNvPr>
            <xdr:cNvSpPr txBox="1"/>
          </xdr:nvSpPr>
          <xdr:spPr>
            <a:xfrm>
              <a:off x="0" y="32004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403744B-4230-F440-A693-AE9486D791BB}"/>
                </a:ext>
              </a:extLst>
            </xdr:cNvPr>
            <xdr:cNvSpPr txBox="1"/>
          </xdr:nvSpPr>
          <xdr:spPr>
            <a:xfrm>
              <a:off x="0" y="3200400"/>
              <a:ext cx="453907" cy="3459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18</xdr:row>
      <xdr:rowOff>0</xdr:rowOff>
    </xdr:from>
    <xdr:ext cx="1049454" cy="3590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90833DB-07BC-8444-96AF-DB8C4DCCEAF4}"/>
                </a:ext>
              </a:extLst>
            </xdr:cNvPr>
            <xdr:cNvSpPr txBox="1"/>
          </xdr:nvSpPr>
          <xdr:spPr>
            <a:xfrm>
              <a:off x="0" y="41148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𝜇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90833DB-07BC-8444-96AF-DB8C4DCCEAF4}"/>
                </a:ext>
              </a:extLst>
            </xdr:cNvPr>
            <xdr:cNvSpPr txBox="1"/>
          </xdr:nvSpPr>
          <xdr:spPr>
            <a:xfrm>
              <a:off x="0" y="4114800"/>
              <a:ext cx="1049454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(𝑛_𝑖⋅𝜇_𝑖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19</xdr:row>
      <xdr:rowOff>0</xdr:rowOff>
    </xdr:from>
    <xdr:ext cx="806503" cy="3590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3724392-114B-2F46-95D4-D272976409ED}"/>
                </a:ext>
              </a:extLst>
            </xdr:cNvPr>
            <xdr:cNvSpPr txBox="1"/>
          </xdr:nvSpPr>
          <xdr:spPr>
            <a:xfrm>
              <a:off x="0" y="43434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3724392-114B-2F46-95D4-D272976409ED}"/>
                </a:ext>
              </a:extLst>
            </xdr:cNvPr>
            <xdr:cNvSpPr txBox="1"/>
          </xdr:nvSpPr>
          <xdr:spPr>
            <a:xfrm>
              <a:off x="0" y="4343400"/>
              <a:ext cx="806503" cy="3590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 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8</xdr:row>
      <xdr:rowOff>0</xdr:rowOff>
    </xdr:from>
    <xdr:ext cx="254000" cy="3458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B9899E2-6250-6747-A376-AEC52D2A5E88}"/>
                </a:ext>
              </a:extLst>
            </xdr:cNvPr>
            <xdr:cNvSpPr txBox="1"/>
          </xdr:nvSpPr>
          <xdr:spPr>
            <a:xfrm>
              <a:off x="1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B9899E2-6250-6747-A376-AEC52D2A5E88}"/>
                </a:ext>
              </a:extLst>
            </xdr:cNvPr>
            <xdr:cNvSpPr txBox="1"/>
          </xdr:nvSpPr>
          <xdr:spPr>
            <a:xfrm>
              <a:off x="1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1</xdr:col>
      <xdr:colOff>0</xdr:colOff>
      <xdr:row>8</xdr:row>
      <xdr:rowOff>0</xdr:rowOff>
    </xdr:from>
    <xdr:ext cx="254000" cy="3458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92A2DBE-F6A9-A947-8197-25AAF60D759F}"/>
                </a:ext>
              </a:extLst>
            </xdr:cNvPr>
            <xdr:cNvSpPr txBox="1"/>
          </xdr:nvSpPr>
          <xdr:spPr>
            <a:xfrm>
              <a:off x="2120900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E92A2DBE-F6A9-A947-8197-25AAF60D759F}"/>
                </a:ext>
              </a:extLst>
            </xdr:cNvPr>
            <xdr:cNvSpPr txBox="1"/>
          </xdr:nvSpPr>
          <xdr:spPr>
            <a:xfrm>
              <a:off x="2120900" y="1828800"/>
              <a:ext cx="2540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2</xdr:col>
      <xdr:colOff>0</xdr:colOff>
      <xdr:row>8</xdr:row>
      <xdr:rowOff>0</xdr:rowOff>
    </xdr:from>
    <xdr:ext cx="177800" cy="3458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BE1C05A-32CE-9A40-9568-92EB5EE939E7}"/>
                </a:ext>
              </a:extLst>
            </xdr:cNvPr>
            <xdr:cNvSpPr txBox="1"/>
          </xdr:nvSpPr>
          <xdr:spPr>
            <a:xfrm>
              <a:off x="3314700" y="1828800"/>
              <a:ext cx="1778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3BE1C05A-32CE-9A40-9568-92EB5EE939E7}"/>
                </a:ext>
              </a:extLst>
            </xdr:cNvPr>
            <xdr:cNvSpPr txBox="1"/>
          </xdr:nvSpPr>
          <xdr:spPr>
            <a:xfrm>
              <a:off x="3314700" y="1828800"/>
              <a:ext cx="177800" cy="345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19</xdr:row>
      <xdr:rowOff>226785</xdr:rowOff>
    </xdr:from>
    <xdr:ext cx="1303947" cy="4989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1A1C881-F5B4-3A4F-B0D6-08B810C94DC7}"/>
                </a:ext>
              </a:extLst>
            </xdr:cNvPr>
            <xdr:cNvSpPr txBox="1"/>
          </xdr:nvSpPr>
          <xdr:spPr>
            <a:xfrm>
              <a:off x="0" y="45701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C1A1C881-F5B4-3A4F-B0D6-08B810C94DC7}"/>
                </a:ext>
              </a:extLst>
            </xdr:cNvPr>
            <xdr:cNvSpPr txBox="1"/>
          </xdr:nvSpPr>
          <xdr:spPr>
            <a:xfrm>
              <a:off x="0" y="4570185"/>
              <a:ext cx="1303947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𝜇_𝑡𝑜𝑡𝑎𝑙=(Σ_(𝑖=1)^𝑘 (𝑛_𝑖⋅𝜇_𝑖 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23</xdr:row>
      <xdr:rowOff>0</xdr:rowOff>
    </xdr:from>
    <xdr:ext cx="241300" cy="52700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B69AAB2-ACE2-0E4E-A2AD-90D6E56B8069}"/>
                </a:ext>
              </a:extLst>
            </xdr:cNvPr>
            <xdr:cNvSpPr txBox="1"/>
          </xdr:nvSpPr>
          <xdr:spPr>
            <a:xfrm>
              <a:off x="0" y="52578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B69AAB2-ACE2-0E4E-A2AD-90D6E56B8069}"/>
                </a:ext>
              </a:extLst>
            </xdr:cNvPr>
            <xdr:cNvSpPr txBox="1"/>
          </xdr:nvSpPr>
          <xdr:spPr>
            <a:xfrm>
              <a:off x="0" y="5257800"/>
              <a:ext cx="241300" cy="5270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26</xdr:row>
      <xdr:rowOff>226785</xdr:rowOff>
    </xdr:from>
    <xdr:ext cx="253787" cy="5273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4777654-5A85-3144-96F7-B174F67A65E9}"/>
                </a:ext>
              </a:extLst>
            </xdr:cNvPr>
            <xdr:cNvSpPr txBox="1"/>
          </xdr:nvSpPr>
          <xdr:spPr>
            <a:xfrm>
              <a:off x="0" y="61703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94777654-5A85-3144-96F7-B174F67A65E9}"/>
                </a:ext>
              </a:extLst>
            </xdr:cNvPr>
            <xdr:cNvSpPr txBox="1"/>
          </xdr:nvSpPr>
          <xdr:spPr>
            <a:xfrm>
              <a:off x="0" y="6170385"/>
              <a:ext cx="253787" cy="5273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31</xdr:row>
      <xdr:rowOff>0</xdr:rowOff>
    </xdr:from>
    <xdr:ext cx="1056379" cy="28121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61412655-5F67-4149-82A3-77C2EE6CC33A}"/>
                </a:ext>
              </a:extLst>
            </xdr:cNvPr>
            <xdr:cNvSpPr txBox="1"/>
          </xdr:nvSpPr>
          <xdr:spPr>
            <a:xfrm>
              <a:off x="0" y="7086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61412655-5F67-4149-82A3-77C2EE6CC33A}"/>
                </a:ext>
              </a:extLst>
            </xdr:cNvPr>
            <xdr:cNvSpPr txBox="1"/>
          </xdr:nvSpPr>
          <xdr:spPr>
            <a:xfrm>
              <a:off x="0" y="7086600"/>
              <a:ext cx="1056379" cy="28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𝐸[𝑋_𝑖^2 ]=𝜎_𝑖^2+𝜇_𝑖^2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35</xdr:row>
      <xdr:rowOff>0</xdr:rowOff>
    </xdr:from>
    <xdr:ext cx="726930" cy="26488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DAED328-8FC8-8849-B8BE-F9CF28E7645C}"/>
                </a:ext>
              </a:extLst>
            </xdr:cNvPr>
            <xdr:cNvSpPr txBox="1"/>
          </xdr:nvSpPr>
          <xdr:spPr>
            <a:xfrm>
              <a:off x="0" y="80010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⋅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d>
                      <m:dPr>
                        <m:begChr m:val="["/>
                        <m:endChr m:val="]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3DAED328-8FC8-8849-B8BE-F9CF28E7645C}"/>
                </a:ext>
              </a:extLst>
            </xdr:cNvPr>
            <xdr:cNvSpPr txBox="1"/>
          </xdr:nvSpPr>
          <xdr:spPr>
            <a:xfrm>
              <a:off x="0" y="8001000"/>
              <a:ext cx="726930" cy="2648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𝑛_𝑖⋅𝐸[𝑋_𝑖^2 ]</a:t>
              </a:r>
              <a:endParaRPr lang="en-US" altLang="ko-KR" sz="1100" b="0"/>
            </a:p>
            <a:p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39</xdr:row>
      <xdr:rowOff>0</xdr:rowOff>
    </xdr:from>
    <xdr:ext cx="1014380" cy="2449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F17B226-A3DB-D246-8B92-4F205FD12539}"/>
                </a:ext>
              </a:extLst>
            </xdr:cNvPr>
            <xdr:cNvSpPr txBox="1"/>
          </xdr:nvSpPr>
          <xdr:spPr>
            <a:xfrm>
              <a:off x="0" y="89154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en-US" altLang="ko-KR" sz="1100" b="0" i="0">
                            <a:latin typeface="Cambria Math" panose="02040503050406030204" pitchFamily="18" charset="0"/>
                          </a:rPr>
                          <m:t>Σ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𝑘</m:t>
                        </m:r>
                      </m:sup>
                    </m:sSubSup>
                    <m:d>
                      <m:d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e>
                        </m:d>
                      </m:e>
                    </m: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F17B226-A3DB-D246-8B92-4F205FD12539}"/>
                </a:ext>
              </a:extLst>
            </xdr:cNvPr>
            <xdr:cNvSpPr txBox="1"/>
          </xdr:nvSpPr>
          <xdr:spPr>
            <a:xfrm>
              <a:off x="0" y="8915400"/>
              <a:ext cx="1014380" cy="244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Σ_(𝑖=1)^𝑘 (𝑛_𝑖⋅𝐸[𝑋_𝑖^2 ])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40</xdr:row>
      <xdr:rowOff>0</xdr:rowOff>
    </xdr:from>
    <xdr:ext cx="1759858" cy="4989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BF0A308-14B5-0C49-9DE9-1F7D78DDF82E}"/>
                </a:ext>
              </a:extLst>
            </xdr:cNvPr>
            <xdr:cNvSpPr txBox="1"/>
          </xdr:nvSpPr>
          <xdr:spPr>
            <a:xfrm>
              <a:off x="0" y="91440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d>
                              <m:dPr>
                                <m:begChr m:val="["/>
                                <m:endChr m:val="]"/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Sup>
                                  <m:sSubSup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d>
                          </m:e>
                        </m:d>
                      </m:num>
                      <m:den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m:rPr>
                                <m:sty m:val="p"/>
                              </m:rPr>
                              <a:rPr lang="en-US" altLang="ko-KR" sz="1100" b="0" i="0">
                                <a:latin typeface="Cambria Math" panose="02040503050406030204" pitchFamily="18" charset="0"/>
                              </a:rPr>
                              <m:t>Σ</m:t>
                            </m:r>
                          </m:e>
                          <m:sub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p>
                        </m:sSubSup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en-US" altLang="ko-KR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BF0A308-14B5-0C49-9DE9-1F7D78DDF82E}"/>
                </a:ext>
              </a:extLst>
            </xdr:cNvPr>
            <xdr:cNvSpPr txBox="1"/>
          </xdr:nvSpPr>
          <xdr:spPr>
            <a:xfrm>
              <a:off x="0" y="9144000"/>
              <a:ext cx="1759858" cy="4989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〖𝐸[𝑋^2 ]〗_𝑡𝑜𝑡𝑎𝑙=(Σ_(𝑖=1)^𝑘 (𝑛_𝑖⋅𝐸[𝑋_𝑖^2 ]))/(Σ_(𝑖=1)^𝑘 (𝑛_𝑖 ) )</a:t>
              </a:r>
              <a:endParaRPr lang="en-US" altLang="ko-KR" sz="1100" b="0"/>
            </a:p>
            <a:p>
              <a:endParaRPr lang="en-US" altLang="ko-KR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43</xdr:row>
      <xdr:rowOff>0</xdr:rowOff>
    </xdr:from>
    <xdr:ext cx="2239972" cy="24855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630C37E-DB3B-054B-A741-CC45D09396EF}"/>
                </a:ext>
              </a:extLst>
            </xdr:cNvPr>
            <xdr:cNvSpPr txBox="1"/>
          </xdr:nvSpPr>
          <xdr:spPr>
            <a:xfrm>
              <a:off x="0" y="98298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𝜇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630C37E-DB3B-054B-A741-CC45D09396EF}"/>
                </a:ext>
              </a:extLst>
            </xdr:cNvPr>
            <xdr:cNvSpPr txBox="1"/>
          </xdr:nvSpPr>
          <xdr:spPr>
            <a:xfrm>
              <a:off x="0" y="9829800"/>
              <a:ext cx="2239972" cy="2485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𝜎_𝑡𝑜𝑡𝑎𝑙^2=𝐸[𝑋^2 ]_𝑡𝑜𝑡𝑎𝑙−(𝜇_𝑡𝑜𝑡𝑎𝑙 )^2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45</xdr:row>
      <xdr:rowOff>0</xdr:rowOff>
    </xdr:from>
    <xdr:ext cx="1559722" cy="55335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31CED37-AFEE-6347-BE25-998F25403207}"/>
                </a:ext>
              </a:extLst>
            </xdr:cNvPr>
            <xdr:cNvSpPr txBox="1"/>
          </xdr:nvSpPr>
          <xdr:spPr>
            <a:xfrm>
              <a:off x="0" y="102870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m:rPr>
                            <m:sty m:val="p"/>
                          </m:rPr>
                          <a:rPr lang="en-US" altLang="ko-KR" sz="1100" b="0" i="1">
                            <a:latin typeface="Cambria Math" panose="02040503050406030204" pitchFamily="18" charset="0"/>
                          </a:rPr>
                          <m:t>ln</m:t>
                        </m:r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(1+</m:t>
                        </m:r>
                        <m:f>
                          <m:f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bSup>
                              <m:sSub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𝜎</m:t>
                                </m:r>
                              </m:e>
                              <m:sub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𝑡𝑜𝑡𝑎𝑙</m:t>
                                </m:r>
                              </m:sub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bSup>
                          </m:num>
                          <m:den>
                            <m:sSup>
                              <m:sSupPr>
                                <m:ctrlP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𝜇</m:t>
                                    </m:r>
                                  </m:e>
                                  <m:sub>
                                    <m:r>
                                      <a:rPr lang="en-US" altLang="ko-KR" sz="1100" b="0" i="1">
                                        <a:latin typeface="Cambria Math" panose="02040503050406030204" pitchFamily="18" charset="0"/>
                                      </a:rPr>
                                      <m:t>𝑡𝑜𝑡𝑎𝑙</m:t>
                                    </m:r>
                                  </m:sub>
                                </m:sSub>
                              </m:e>
                              <m:sup>
                                <m:r>
                                  <a:rPr lang="en-US" altLang="ko-KR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31CED37-AFEE-6347-BE25-998F25403207}"/>
                </a:ext>
              </a:extLst>
            </xdr:cNvPr>
            <xdr:cNvSpPr txBox="1"/>
          </xdr:nvSpPr>
          <xdr:spPr>
            <a:xfrm>
              <a:off x="0" y="10287000"/>
              <a:ext cx="1559722" cy="553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𝜎_𝑙𝑜𝑔=√(ln(1+(𝜎_𝑡𝑜𝑡𝑎𝑙^2)/〖𝜇_𝑡𝑜𝑡𝑎𝑙〗^2 ))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48</xdr:row>
      <xdr:rowOff>1</xdr:rowOff>
    </xdr:from>
    <xdr:ext cx="1559722" cy="4535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4876B9C-3D72-9C4D-ABC1-5214FDA3EAB0}"/>
                </a:ext>
              </a:extLst>
            </xdr:cNvPr>
            <xdr:cNvSpPr txBox="1"/>
          </xdr:nvSpPr>
          <xdr:spPr>
            <a:xfrm>
              <a:off x="0" y="109728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ln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)−</m:t>
                    </m:r>
                    <m:f>
                      <m:f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Sup>
                          <m:sSubSupPr>
                            <m:ctrl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𝜎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log</m:t>
                            </m:r>
                          </m:sub>
                          <m:sup>
                            <m:r>
                              <a:rPr lang="en-US" altLang="ko-KR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en-US" altLang="ko-KR" sz="1100" b="0"/>
            </a:p>
            <a:p>
              <a:endParaRPr lang="ko-KR" altLang="en-US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4876B9C-3D72-9C4D-ABC1-5214FDA3EAB0}"/>
                </a:ext>
              </a:extLst>
            </xdr:cNvPr>
            <xdr:cNvSpPr txBox="1"/>
          </xdr:nvSpPr>
          <xdr:spPr>
            <a:xfrm>
              <a:off x="0" y="10972801"/>
              <a:ext cx="1559722" cy="453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𝜇_𝑙𝑜𝑔=ln(𝜇_𝑡𝑜𝑡𝑎𝑙)−(𝜎_log^2)/2</a:t>
              </a:r>
              <a:endParaRPr lang="en-US" altLang="ko-KR" sz="1100" b="0"/>
            </a:p>
            <a:p>
              <a:endParaRPr lang="ko-KR" alt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51</xdr:row>
      <xdr:rowOff>0</xdr:rowOff>
    </xdr:from>
    <xdr:ext cx="2071786" cy="18299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0FFD56C-6228-084E-9680-C70A42FE67DC}"/>
                </a:ext>
              </a:extLst>
            </xdr:cNvPr>
            <xdr:cNvSpPr txBox="1"/>
          </xdr:nvSpPr>
          <xdr:spPr>
            <a:xfrm>
              <a:off x="0" y="116586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1100" b="0" i="1">
                        <a:latin typeface="Cambria Math" panose="02040503050406030204" pitchFamily="18" charset="0"/>
                      </a:rPr>
                      <m:t>p</m:t>
                    </m:r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95=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exp</m:t>
                    </m:r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𝜇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a:rPr lang="en-US" altLang="ko-KR" sz="1100" b="0" i="1">
                        <a:latin typeface="Cambria Math" panose="02040503050406030204" pitchFamily="18" charset="0"/>
                      </a:rPr>
                      <m:t>+1.64485 ⋅</m:t>
                    </m:r>
                    <m:sSub>
                      <m:sSubPr>
                        <m:ctrlPr>
                          <a:rPr lang="en-US" altLang="ko-KR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𝜎</m:t>
                        </m:r>
                      </m:e>
                      <m:sub>
                        <m:r>
                          <a:rPr lang="en-US" altLang="ko-KR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</m:sub>
                    </m:sSub>
                    <m:r>
                      <m:rPr>
                        <m:nor/>
                      </m:rPr>
                      <a:rPr lang="en-US" altLang="ko-KR" sz="1100" b="0" i="0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ko-KR" altLang="en-US" sz="1100"/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0FFD56C-6228-084E-9680-C70A42FE67DC}"/>
                </a:ext>
              </a:extLst>
            </xdr:cNvPr>
            <xdr:cNvSpPr txBox="1"/>
          </xdr:nvSpPr>
          <xdr:spPr>
            <a:xfrm>
              <a:off x="0" y="11658600"/>
              <a:ext cx="20717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altLang="ko-KR" sz="1100" b="0" i="0">
                  <a:latin typeface="Cambria Math" panose="02040503050406030204" pitchFamily="18" charset="0"/>
                </a:rPr>
                <a:t>p95="exp(" 𝜇_𝑙𝑜𝑔+1.64485 ⋅𝜎_𝑙𝑜𝑔 ")</a:t>
              </a:r>
              <a:r>
                <a:rPr lang="ko-KR" altLang="en-US" sz="1100" b="0" i="0">
                  <a:latin typeface="Cambria Math" panose="02040503050406030204" pitchFamily="18" charset="0"/>
                </a:rPr>
                <a:t>"</a:t>
              </a:r>
              <a:endParaRPr lang="ko-KR" alt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4B586-FD3F-564D-9263-F0E4BA17FE21}">
  <dimension ref="A1:M53"/>
  <sheetViews>
    <sheetView tabSelected="1" topLeftCell="A26" workbookViewId="0">
      <selection activeCell="F41" sqref="F41"/>
    </sheetView>
  </sheetViews>
  <sheetFormatPr baseColWidth="10" defaultRowHeight="18"/>
  <cols>
    <col min="1" max="1" width="23.7109375" customWidth="1"/>
    <col min="2" max="2" width="12.7109375" bestFit="1" customWidth="1"/>
    <col min="3" max="3" width="8.7109375" bestFit="1" customWidth="1"/>
    <col min="4" max="4" width="6" bestFit="1" customWidth="1"/>
    <col min="5" max="5" width="18.85546875" bestFit="1" customWidth="1"/>
    <col min="6" max="6" width="30.5703125" bestFit="1" customWidth="1"/>
    <col min="7" max="7" width="6.7109375" bestFit="1" customWidth="1"/>
    <col min="8" max="8" width="19.7109375" bestFit="1" customWidth="1"/>
    <col min="9" max="9" width="23.85546875" bestFit="1" customWidth="1"/>
    <col min="10" max="10" width="14" bestFit="1" customWidth="1"/>
    <col min="11" max="11" width="23.42578125" bestFit="1" customWidth="1"/>
    <col min="12" max="12" width="30.7109375" bestFit="1" customWidth="1"/>
    <col min="13" max="13" width="20.71093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s="1">
        <v>46110.717673611114</v>
      </c>
      <c r="B2">
        <v>703</v>
      </c>
      <c r="C2">
        <v>97</v>
      </c>
      <c r="D2">
        <v>0</v>
      </c>
      <c r="E2">
        <v>1132</v>
      </c>
      <c r="F2">
        <v>471.601</v>
      </c>
      <c r="G2">
        <v>48.5</v>
      </c>
      <c r="H2">
        <v>77</v>
      </c>
      <c r="I2">
        <v>3734.5</v>
      </c>
      <c r="J2">
        <v>0</v>
      </c>
      <c r="K2">
        <v>0</v>
      </c>
      <c r="L2">
        <v>277.82499999999999</v>
      </c>
      <c r="M2">
        <v>428.18599999999998</v>
      </c>
    </row>
    <row r="3" spans="1:13">
      <c r="A3" s="1">
        <v>46110.71769675926</v>
      </c>
      <c r="B3">
        <v>508</v>
      </c>
      <c r="C3">
        <v>395</v>
      </c>
      <c r="D3">
        <v>0</v>
      </c>
      <c r="E3">
        <v>1190.316</v>
      </c>
      <c r="F3">
        <v>426.27699999999999</v>
      </c>
      <c r="G3">
        <v>197.5</v>
      </c>
      <c r="H3">
        <v>142.053</v>
      </c>
      <c r="I3">
        <v>28055.5</v>
      </c>
      <c r="J3">
        <v>292</v>
      </c>
      <c r="K3">
        <v>0</v>
      </c>
      <c r="L3">
        <v>281.68099999999998</v>
      </c>
      <c r="M3">
        <v>377.24099999999999</v>
      </c>
    </row>
    <row r="4" spans="1:13">
      <c r="A4" s="1">
        <v>46110.717719907407</v>
      </c>
      <c r="B4">
        <v>107</v>
      </c>
      <c r="C4">
        <v>205</v>
      </c>
      <c r="D4">
        <v>0</v>
      </c>
      <c r="E4">
        <v>1031.19</v>
      </c>
      <c r="F4">
        <v>490.14299999999997</v>
      </c>
      <c r="G4">
        <v>102.5</v>
      </c>
      <c r="H4">
        <v>165</v>
      </c>
      <c r="I4">
        <v>16912.5</v>
      </c>
      <c r="J4">
        <v>205</v>
      </c>
      <c r="K4">
        <v>0</v>
      </c>
      <c r="L4">
        <v>316.17599999999999</v>
      </c>
      <c r="M4">
        <v>393.62</v>
      </c>
    </row>
    <row r="5" spans="1:13">
      <c r="A5" s="1">
        <v>46110.717743055553</v>
      </c>
      <c r="B5">
        <v>0</v>
      </c>
      <c r="C5">
        <v>103</v>
      </c>
      <c r="D5">
        <v>0</v>
      </c>
      <c r="E5">
        <v>1178.6210000000001</v>
      </c>
      <c r="F5">
        <v>231.554</v>
      </c>
      <c r="G5">
        <v>51.5</v>
      </c>
      <c r="H5">
        <v>165</v>
      </c>
      <c r="I5">
        <v>8497.5</v>
      </c>
      <c r="J5">
        <v>103</v>
      </c>
      <c r="K5">
        <v>0</v>
      </c>
      <c r="L5">
        <v>182.922</v>
      </c>
      <c r="M5">
        <v>194.583</v>
      </c>
    </row>
    <row r="10" spans="1:13">
      <c r="A10">
        <f>C2</f>
        <v>97</v>
      </c>
      <c r="B10">
        <f t="shared" ref="B10:C13" si="0">E2</f>
        <v>1132</v>
      </c>
      <c r="C10">
        <f t="shared" si="0"/>
        <v>471.601</v>
      </c>
    </row>
    <row r="11" spans="1:13">
      <c r="A11">
        <f>C3</f>
        <v>395</v>
      </c>
      <c r="B11">
        <f t="shared" si="0"/>
        <v>1190.316</v>
      </c>
      <c r="C11">
        <f t="shared" si="0"/>
        <v>426.27699999999999</v>
      </c>
    </row>
    <row r="12" spans="1:13">
      <c r="A12">
        <f>C4</f>
        <v>205</v>
      </c>
      <c r="B12">
        <f t="shared" si="0"/>
        <v>1031.19</v>
      </c>
      <c r="C12">
        <f t="shared" si="0"/>
        <v>490.14299999999997</v>
      </c>
    </row>
    <row r="13" spans="1:13">
      <c r="A13">
        <f>C5</f>
        <v>103</v>
      </c>
      <c r="B13">
        <f t="shared" si="0"/>
        <v>1178.6210000000001</v>
      </c>
      <c r="C13">
        <f t="shared" si="0"/>
        <v>231.554</v>
      </c>
    </row>
    <row r="15" spans="1:13">
      <c r="B15">
        <f>A10*B10</f>
        <v>109804</v>
      </c>
    </row>
    <row r="16" spans="1:13">
      <c r="B16">
        <f>A11*B11</f>
        <v>470174.82</v>
      </c>
    </row>
    <row r="17" spans="2:2">
      <c r="B17">
        <f>A12*B12</f>
        <v>211393.95</v>
      </c>
    </row>
    <row r="18" spans="2:2">
      <c r="B18">
        <f>A13*B13</f>
        <v>121397.963</v>
      </c>
    </row>
    <row r="19" spans="2:2">
      <c r="B19">
        <f>SUM(B15:B18)</f>
        <v>912770.73300000001</v>
      </c>
    </row>
    <row r="20" spans="2:2">
      <c r="B20">
        <f>SUM(A10:A13)</f>
        <v>800</v>
      </c>
    </row>
    <row r="21" spans="2:2">
      <c r="B21">
        <f>B19/B20</f>
        <v>1140.9634162499999</v>
      </c>
    </row>
    <row r="22" spans="2:2">
      <c r="B22">
        <f>ROUND(B21,2)</f>
        <v>1140.96</v>
      </c>
    </row>
    <row r="24" spans="2:2">
      <c r="B24">
        <f>POWER(C10,2)</f>
        <v>222407.50320099998</v>
      </c>
    </row>
    <row r="25" spans="2:2">
      <c r="B25">
        <f>POWER(C11,2)</f>
        <v>181712.08072899998</v>
      </c>
    </row>
    <row r="26" spans="2:2">
      <c r="B26">
        <f>POWER(C12,2)</f>
        <v>240240.16044899996</v>
      </c>
    </row>
    <row r="27" spans="2:2">
      <c r="B27">
        <f>POWER(C13,2)</f>
        <v>53617.254915999998</v>
      </c>
    </row>
    <row r="28" spans="2:2">
      <c r="B28">
        <f>POWER(B10,2)</f>
        <v>1281424</v>
      </c>
    </row>
    <row r="29" spans="2:2">
      <c r="B29">
        <f>POWER(B11,2)</f>
        <v>1416852.179856</v>
      </c>
    </row>
    <row r="30" spans="2:2">
      <c r="B30">
        <f>POWER(B12,2)</f>
        <v>1063352.8161000002</v>
      </c>
    </row>
    <row r="31" spans="2:2">
      <c r="B31">
        <f>POWER(B13,2)</f>
        <v>1389147.4616410001</v>
      </c>
    </row>
    <row r="32" spans="2:2">
      <c r="B32">
        <f>B24+B28</f>
        <v>1503831.5032009999</v>
      </c>
    </row>
    <row r="33" spans="2:2">
      <c r="B33">
        <f>B25+B29</f>
        <v>1598564.260585</v>
      </c>
    </row>
    <row r="34" spans="2:2">
      <c r="B34">
        <f>B26+B30</f>
        <v>1303592.976549</v>
      </c>
    </row>
    <row r="35" spans="2:2">
      <c r="B35">
        <f>B27+B31</f>
        <v>1442764.7165570001</v>
      </c>
    </row>
    <row r="36" spans="2:2">
      <c r="B36">
        <f>A10*B32</f>
        <v>145871655.81049699</v>
      </c>
    </row>
    <row r="37" spans="2:2">
      <c r="B37">
        <f>A11*B33</f>
        <v>631432882.93107498</v>
      </c>
    </row>
    <row r="38" spans="2:2">
      <c r="B38">
        <f>A12*B34</f>
        <v>267236560.192545</v>
      </c>
    </row>
    <row r="39" spans="2:2">
      <c r="B39">
        <f>A13*B35</f>
        <v>148604765.80537102</v>
      </c>
    </row>
    <row r="40" spans="2:2">
      <c r="B40">
        <f>SUM(B36:B39)</f>
        <v>1193145864.7394879</v>
      </c>
    </row>
    <row r="41" spans="2:2">
      <c r="B41">
        <f>B40/B20</f>
        <v>1491432.3309243598</v>
      </c>
    </row>
    <row r="44" spans="2:2">
      <c r="B44">
        <f>B41-POWER(B21,2)</f>
        <v>189634.81370348926</v>
      </c>
    </row>
    <row r="46" spans="2:2">
      <c r="B46">
        <f>SQRT(LN(1+B44/POWER(B21,2)))</f>
        <v>0.36876949326885883</v>
      </c>
    </row>
    <row r="49" spans="2:2">
      <c r="B49">
        <f>LN(B21)-POWER(B46,2)/2</f>
        <v>6.9716328168817299</v>
      </c>
    </row>
    <row r="52" spans="2:2">
      <c r="B52">
        <f>EXP(B49+1.64485*B46)</f>
        <v>1955.1130911560174</v>
      </c>
    </row>
    <row r="53" spans="2:2">
      <c r="B53">
        <f>ROUND(B52,2)</f>
        <v>1955.11</v>
      </c>
    </row>
  </sheetData>
  <phoneticPr fontId="1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pub-sub-lock-800-ngrinder-resul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함상현</dc:creator>
  <cp:lastModifiedBy>함상현</cp:lastModifiedBy>
  <dcterms:created xsi:type="dcterms:W3CDTF">2026-03-29T21:36:57Z</dcterms:created>
  <dcterms:modified xsi:type="dcterms:W3CDTF">2026-03-29T21:38:01Z</dcterms:modified>
</cp:coreProperties>
</file>