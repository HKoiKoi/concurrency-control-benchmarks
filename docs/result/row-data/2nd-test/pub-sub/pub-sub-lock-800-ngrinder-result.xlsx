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pub-sub/"/>
    </mc:Choice>
  </mc:AlternateContent>
  <xr:revisionPtr revIDLastSave="0" documentId="13_ncr:9_{FE7FC8E8-0B20-3940-98C6-3B30389C9C5F}" xr6:coauthVersionLast="47" xr6:coauthVersionMax="47" xr10:uidLastSave="{00000000-0000-0000-0000-000000000000}"/>
  <bookViews>
    <workbookView xWindow="0" yWindow="660" windowWidth="29400" windowHeight="18460" xr2:uid="{0CAA6A65-C174-B043-91C7-F4D87FEE2F3B}"/>
  </bookViews>
  <sheets>
    <sheet name="pub-sub-lock-8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24" i="1"/>
  <c r="B32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33" i="1" s="1"/>
  <c r="B11" i="1"/>
  <c r="B29" i="1" s="1"/>
  <c r="A11" i="1"/>
  <c r="B16" i="1" s="1"/>
  <c r="C10" i="1"/>
  <c r="B10" i="1"/>
  <c r="A10" i="1"/>
  <c r="B36" i="1" s="1"/>
  <c r="B37" i="1" l="1"/>
  <c r="B40" i="1" s="1"/>
  <c r="B41" i="1" s="1"/>
  <c r="B44" i="1" s="1"/>
  <c r="B46" i="1" s="1"/>
  <c r="B20" i="1"/>
  <c r="B15" i="1"/>
  <c r="B19" i="1" s="1"/>
  <c r="B21" i="1" s="1"/>
  <c r="B22" i="1" l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<sst xmlns="http://schemas.openxmlformats.org/spreadsheetml/2006/main" count="13" uniqueCount="13">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</sst>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03744B-4230-F440-A693-AE9486D791BB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403744B-4230-F440-A693-AE9486D791BB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90833DB-07BC-8444-96AF-DB8C4DCCEAF4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90833DB-07BC-8444-96AF-DB8C4DCCEAF4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3724392-114B-2F46-95D4-D272976409ED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3724392-114B-2F46-95D4-D272976409ED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B9899E2-6250-6747-A376-AEC52D2A5E88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B9899E2-6250-6747-A376-AEC52D2A5E88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2A2DBE-F6A9-A947-8197-25AAF60D759F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2A2DBE-F6A9-A947-8197-25AAF60D759F}"/>
                </a:ext>
              </a:extLst>
            </xdr:cNvPr>
            <xdr:cNvSpPr txBox="1"/>
          </xdr:nvSpPr>
          <xdr:spPr>
            <a:xfrm>
              <a:off x="21209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BE1C05A-32CE-9A40-9568-92EB5EE939E7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BE1C05A-32CE-9A40-9568-92EB5EE939E7}"/>
                </a:ext>
              </a:extLst>
            </xdr:cNvPr>
            <xdr:cNvSpPr txBox="1"/>
          </xdr:nvSpPr>
          <xdr:spPr>
            <a:xfrm>
              <a:off x="33147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1A1C881-F5B4-3A4F-B0D6-08B810C94DC7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1A1C881-F5B4-3A4F-B0D6-08B810C94DC7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B69AAB2-ACE2-0E4E-A2AD-90D6E56B8069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B69AAB2-ACE2-0E4E-A2AD-90D6E56B8069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4777654-5A85-3144-96F7-B174F67A65E9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4777654-5A85-3144-96F7-B174F67A65E9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1412655-5F67-4149-82A3-77C2EE6CC33A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1412655-5F67-4149-82A3-77C2EE6CC33A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DAED328-8FC8-8849-B8BE-F9CF28E7645C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DAED328-8FC8-8849-B8BE-F9CF28E7645C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17B226-A3DB-D246-8B92-4F205FD12539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17B226-A3DB-D246-8B92-4F205FD12539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BF0A308-14B5-0C49-9DE9-1F7D78DDF82E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BF0A308-14B5-0C49-9DE9-1F7D78DDF82E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630C37E-DB3B-054B-A741-CC45D09396EF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630C37E-DB3B-054B-A741-CC45D09396EF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31CED37-AFEE-6347-BE25-998F25403207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31CED37-AFEE-6347-BE25-998F25403207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4876B9C-3D72-9C4D-ABC1-5214FDA3EAB0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4876B9C-3D72-9C4D-ABC1-5214FDA3EAB0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0FFD56C-6228-084E-9680-C70A42FE67DC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0FFD56C-6228-084E-9680-C70A42FE67DC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B586-FD3F-564D-9263-F0E4BA17FE21}">
  <dimension ref="A1:M53"/>
  <sheetViews>
    <sheetView tabSelected="1" workbookViewId="0">
      <selection activeCell="H18" sqref="H18"/>
    </sheetView>
  </sheetViews>
  <sheetFormatPr baseColWidth="10" defaultRowHeight="18"/>
  <cols>
    <col min="1" max="1" width="23.71093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46110.717673611114</v>
      </c>
      <c r="B2">
        <v>703</v>
      </c>
      <c r="C2">
        <v>97</v>
      </c>
      <c r="D2">
        <v>0</v>
      </c>
      <c r="E2">
        <v>1132</v>
      </c>
      <c r="F2">
        <v>471.601</v>
      </c>
      <c r="G2">
        <v>48.5</v>
      </c>
      <c r="H2">
        <v>77</v>
      </c>
      <c r="I2">
        <v>3734.5</v>
      </c>
      <c r="J2">
        <v>0</v>
      </c>
      <c r="K2">
        <v>0</v>
      </c>
      <c r="L2">
        <v>277.82499999999999</v>
      </c>
      <c r="M2">
        <v>428.18599999999998</v>
      </c>
    </row>
    <row r="3" spans="1:13">
      <c r="A3" s="1">
        <v>46110.71769675926</v>
      </c>
      <c r="B3">
        <v>508</v>
      </c>
      <c r="C3">
        <v>395</v>
      </c>
      <c r="D3">
        <v>0</v>
      </c>
      <c r="E3">
        <v>1190.316</v>
      </c>
      <c r="F3">
        <v>426.27699999999999</v>
      </c>
      <c r="G3">
        <v>197.5</v>
      </c>
      <c r="H3">
        <v>142.053</v>
      </c>
      <c r="I3">
        <v>28055.5</v>
      </c>
      <c r="J3">
        <v>292</v>
      </c>
      <c r="K3">
        <v>0</v>
      </c>
      <c r="L3">
        <v>281.68099999999998</v>
      </c>
      <c r="M3">
        <v>377.24099999999999</v>
      </c>
    </row>
    <row r="4" spans="1:13">
      <c r="A4" s="1">
        <v>46110.717719907407</v>
      </c>
      <c r="B4">
        <v>107</v>
      </c>
      <c r="C4">
        <v>205</v>
      </c>
      <c r="D4">
        <v>0</v>
      </c>
      <c r="E4">
        <v>1031.19</v>
      </c>
      <c r="F4">
        <v>490.14299999999997</v>
      </c>
      <c r="G4">
        <v>102.5</v>
      </c>
      <c r="H4">
        <v>165</v>
      </c>
      <c r="I4">
        <v>16912.5</v>
      </c>
      <c r="J4">
        <v>205</v>
      </c>
      <c r="K4">
        <v>0</v>
      </c>
      <c r="L4">
        <v>316.17599999999999</v>
      </c>
      <c r="M4">
        <v>393.62</v>
      </c>
    </row>
    <row r="5" spans="1:13">
      <c r="A5" s="1">
        <v>46110.717743055553</v>
      </c>
      <c r="B5">
        <v>0</v>
      </c>
      <c r="C5">
        <v>103</v>
      </c>
      <c r="D5">
        <v>0</v>
      </c>
      <c r="E5">
        <v>1178.6210000000001</v>
      </c>
      <c r="F5">
        <v>231.554</v>
      </c>
      <c r="G5">
        <v>51.5</v>
      </c>
      <c r="H5">
        <v>165</v>
      </c>
      <c r="I5">
        <v>8497.5</v>
      </c>
      <c r="J5">
        <v>103</v>
      </c>
      <c r="K5">
        <v>0</v>
      </c>
      <c r="L5">
        <v>182.922</v>
      </c>
      <c r="M5">
        <v>194.583</v>
      </c>
    </row>
    <row r="10" spans="1:13">
      <c r="A10">
        <f>C2</f>
        <v>97</v>
      </c>
      <c r="B10">
        <f t="shared" ref="B10:C13" si="0">E2</f>
        <v>1132</v>
      </c>
      <c r="C10">
        <f t="shared" si="0"/>
        <v>471.601</v>
      </c>
    </row>
    <row r="11" spans="1:13">
      <c r="A11">
        <f>C3</f>
        <v>395</v>
      </c>
      <c r="B11">
        <f t="shared" si="0"/>
        <v>1190.316</v>
      </c>
      <c r="C11">
        <f t="shared" si="0"/>
        <v>426.27699999999999</v>
      </c>
    </row>
    <row r="12" spans="1:13">
      <c r="A12">
        <f>C4</f>
        <v>205</v>
      </c>
      <c r="B12">
        <f t="shared" si="0"/>
        <v>1031.19</v>
      </c>
      <c r="C12">
        <f t="shared" si="0"/>
        <v>490.14299999999997</v>
      </c>
    </row>
    <row r="13" spans="1:13">
      <c r="A13">
        <f>C5</f>
        <v>103</v>
      </c>
      <c r="B13">
        <f t="shared" si="0"/>
        <v>1178.6210000000001</v>
      </c>
      <c r="C13">
        <f t="shared" si="0"/>
        <v>231.554</v>
      </c>
    </row>
    <row r="15" spans="1:13">
      <c r="B15">
        <f>A10*B10</f>
        <v>109804</v>
      </c>
    </row>
    <row r="16" spans="1:13">
      <c r="B16">
        <f>A11*B11</f>
        <v>470174.82</v>
      </c>
    </row>
    <row r="17" spans="2:2">
      <c r="B17">
        <f>A12*B12</f>
        <v>211393.95</v>
      </c>
    </row>
    <row r="18" spans="2:2">
      <c r="B18">
        <f>A13*B13</f>
        <v>121397.963</v>
      </c>
    </row>
    <row r="19" spans="2:2">
      <c r="B19">
        <f>SUM(B15:B18)</f>
        <v>912770.73300000001</v>
      </c>
    </row>
    <row r="20" spans="2:2">
      <c r="B20">
        <f>SUM(A10:A13)</f>
        <v>800</v>
      </c>
    </row>
    <row r="21" spans="2:2">
      <c r="B21">
        <f>B19/B20</f>
        <v>1140.9634162499999</v>
      </c>
    </row>
    <row r="22" spans="2:2">
      <c r="B22">
        <f>ROUND(B21,2)</f>
        <v>1140.96</v>
      </c>
    </row>
    <row r="24" spans="2:2">
      <c r="B24">
        <f>POWER(C10,2)</f>
        <v>222407.50320099998</v>
      </c>
    </row>
    <row r="25" spans="2:2">
      <c r="B25">
        <f>POWER(C11,2)</f>
        <v>181712.08072899998</v>
      </c>
    </row>
    <row r="26" spans="2:2">
      <c r="B26">
        <f>POWER(C12,2)</f>
        <v>240240.16044899996</v>
      </c>
    </row>
    <row r="27" spans="2:2">
      <c r="B27">
        <f>POWER(C13,2)</f>
        <v>53617.254915999998</v>
      </c>
    </row>
    <row r="28" spans="2:2">
      <c r="B28">
        <f>POWER(B10,2)</f>
        <v>1281424</v>
      </c>
    </row>
    <row r="29" spans="2:2">
      <c r="B29">
        <f>POWER(B11,2)</f>
        <v>1416852.179856</v>
      </c>
    </row>
    <row r="30" spans="2:2">
      <c r="B30">
        <f>POWER(B12,2)</f>
        <v>1063352.8161000002</v>
      </c>
    </row>
    <row r="31" spans="2:2">
      <c r="B31">
        <f>POWER(B13,2)</f>
        <v>1389147.4616410001</v>
      </c>
    </row>
    <row r="32" spans="2:2">
      <c r="B32">
        <f>B24+B28</f>
        <v>1503831.5032009999</v>
      </c>
    </row>
    <row r="33" spans="2:2">
      <c r="B33">
        <f>B25+B29</f>
        <v>1598564.260585</v>
      </c>
    </row>
    <row r="34" spans="2:2">
      <c r="B34">
        <f>B26+B30</f>
        <v>1303592.976549</v>
      </c>
    </row>
    <row r="35" spans="2:2">
      <c r="B35">
        <f>B27+B31</f>
        <v>1442764.7165570001</v>
      </c>
    </row>
    <row r="36" spans="2:2">
      <c r="B36">
        <f>A10*B32</f>
        <v>145871655.81049699</v>
      </c>
    </row>
    <row r="37" spans="2:2">
      <c r="B37">
        <f>A11*B33</f>
        <v>631432882.93107498</v>
      </c>
    </row>
    <row r="38" spans="2:2">
      <c r="B38">
        <f>A12*B34</f>
        <v>267236560.192545</v>
      </c>
    </row>
    <row r="39" spans="2:2">
      <c r="B39">
        <f>A13*B35</f>
        <v>148604765.80537102</v>
      </c>
    </row>
    <row r="40" spans="2:2">
      <c r="B40">
        <f>SUM(B36:B39)</f>
        <v>1193145864.7394879</v>
      </c>
    </row>
    <row r="41" spans="2:2">
      <c r="B41">
        <f>B40/B20</f>
        <v>1491432.3309243598</v>
      </c>
    </row>
    <row r="44" spans="2:2">
      <c r="B44">
        <f>B41-POWER(B21,2)</f>
        <v>189634.81370348926</v>
      </c>
    </row>
    <row r="46" spans="2:2">
      <c r="B46">
        <f>SQRT(LN(1+B44/POWER(B21,2)))</f>
        <v>0.36876949326885883</v>
      </c>
    </row>
    <row r="49" spans="2:2">
      <c r="B49">
        <f>LN(B21)-POWER(B46,2)/2</f>
        <v>6.9716328168817299</v>
      </c>
    </row>
    <row r="52" spans="2:2">
      <c r="B52">
        <f>EXP(B49+1.64485*B46)</f>
        <v>1955.1130911560174</v>
      </c>
    </row>
    <row r="53" spans="2:2">
      <c r="B53">
        <f>ROUND(B52,2)</f>
        <v>1955.11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pub-sub-lock-800-ngrinder-resul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2026-03-29T21:36:57Z</dcterms:created>
  <dcterms:modified xsi:type="dcterms:W3CDTF">2026-03-31T06:28:43Z</dcterms:modified>
</cp:coreProperties>
</file>