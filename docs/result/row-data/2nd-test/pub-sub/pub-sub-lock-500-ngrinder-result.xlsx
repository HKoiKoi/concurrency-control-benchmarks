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pub-sub/"/>
    </mc:Choice>
  </mc:AlternateContent>
  <xr:revisionPtr revIDLastSave="0" documentId="13_ncr:9_{E0C960C9-2899-3E40-8106-9861821FD31A}" xr6:coauthVersionLast="47" xr6:coauthVersionMax="47" xr10:uidLastSave="{00000000-0000-0000-0000-000000000000}"/>
  <bookViews>
    <workbookView xWindow="14700" yWindow="660" windowWidth="14700" windowHeight="18460" xr2:uid="{1D1078E1-029B-334E-9B37-CE3F3766F962}"/>
  </bookViews>
  <sheets>
    <sheet name="pub-sub-lock-5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15" i="1"/>
  <c r="B36" i="1" s="1"/>
  <c r="A15" i="1"/>
  <c r="B21" i="1" s="1"/>
  <c r="C14" i="1"/>
  <c r="B30" i="1" s="1"/>
  <c r="B40" i="1" s="1"/>
  <c r="B45" i="1" s="1"/>
  <c r="B14" i="1"/>
  <c r="B20" i="1" s="1"/>
  <c r="A14" i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8" i="1" l="1"/>
  <c r="B43" i="1" s="1"/>
  <c r="B37" i="1"/>
  <c r="B42" i="1" s="1"/>
  <c r="B47" i="1" s="1"/>
  <c r="B48" i="1" s="1"/>
  <c r="B41" i="1"/>
  <c r="B46" i="1"/>
  <c r="B17" i="1"/>
  <c r="B18" i="1"/>
  <c r="B22" i="1" l="1"/>
  <c r="B24" i="1" s="1"/>
  <c r="B25" i="1" l="1"/>
  <c r="B51" i="1"/>
  <c r="B53" i="1" s="1"/>
  <c r="B56" i="1" s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<sst xmlns="http://schemas.openxmlformats.org/spreadsheetml/2006/main" count="13" uniqueCount="13">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</sst>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831824-D1C7-734C-A931-AC289CB8607F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831824-D1C7-734C-A931-AC289CB8607F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0C17401-6A18-0E4C-B306-F1953CDBCC9D}"/>
                </a:ext>
              </a:extLst>
            </xdr:cNvPr>
            <xdr:cNvSpPr txBox="1"/>
          </xdr:nvSpPr>
          <xdr:spPr>
            <a:xfrm>
              <a:off x="2311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0C17401-6A18-0E4C-B306-F1953CDBCC9D}"/>
                </a:ext>
              </a:extLst>
            </xdr:cNvPr>
            <xdr:cNvSpPr txBox="1"/>
          </xdr:nvSpPr>
          <xdr:spPr>
            <a:xfrm>
              <a:off x="2311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AF43C1E-6C30-E34A-8455-AE96FADA0783}"/>
                </a:ext>
              </a:extLst>
            </xdr:cNvPr>
            <xdr:cNvSpPr txBox="1"/>
          </xdr:nvSpPr>
          <xdr:spPr>
            <a:xfrm>
              <a:off x="33528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AF43C1E-6C30-E34A-8455-AE96FADA0783}"/>
                </a:ext>
              </a:extLst>
            </xdr:cNvPr>
            <xdr:cNvSpPr txBox="1"/>
          </xdr:nvSpPr>
          <xdr:spPr>
            <a:xfrm>
              <a:off x="33528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22FFDFE-0977-6C4D-AC9E-4EFE4A53AE54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22FFDFE-0977-6C4D-AC9E-4EFE4A53AE54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009AE9B-837F-9640-A7F4-4FFD015269B3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009AE9B-837F-9640-A7F4-4FFD015269B3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A84F4B3-2FC4-9340-931C-780C17D30F06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A84F4B3-2FC4-9340-931C-780C17D30F06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356E3F7-BBA0-684D-BC26-977CDF75FD76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356E3F7-BBA0-684D-BC26-977CDF75FD76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60F3309-1DF9-9D4F-AD5D-4EA7423838C4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60F3309-1DF9-9D4F-AD5D-4EA7423838C4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1CF7717-8C8C-C14E-9C38-82535D82E932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1CF7717-8C8C-C14E-9C38-82535D82E932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4842E8A-4259-7B44-A714-51E27F4D6365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4842E8A-4259-7B44-A714-51E27F4D6365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A66F4D-4E40-5A41-ADB3-03974A4B6DCC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A66F4D-4E40-5A41-ADB3-03974A4B6DCC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62ADB9-FF07-0549-BCB7-D6B8B46A443A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62ADB9-FF07-0549-BCB7-D6B8B46A443A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658821F-BB9C-FD4D-BC1D-C39766CC1F0D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658821F-BB9C-FD4D-BC1D-C39766CC1F0D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10951C3-A2FF-F546-AFA5-786250B2C264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10951C3-A2FF-F546-AFA5-786250B2C264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72C1BDB-8C49-754F-A423-4A0A1617636B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72C1BDB-8C49-754F-A423-4A0A1617636B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EA37570-D3E3-4E4A-AFA5-86971D4DFDF4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EA37570-D3E3-4E4A-AFA5-86971D4DFDF4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8C4448B-3418-9D48-B52C-F718E4643675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8C4448B-3418-9D48-B52C-F718E4643675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E2F3-8A48-584D-A9BD-2A1FFF8F329D}">
  <dimension ref="A1:M60"/>
  <sheetViews>
    <sheetView tabSelected="1" topLeftCell="A26" workbookViewId="0">
      <selection activeCell="E37" sqref="E37"/>
    </sheetView>
  </sheetViews>
  <sheetFormatPr baseColWidth="10" defaultRowHeight="18"/>
  <cols>
    <col min="1" max="1" width="24.71093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5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46110.710682870369</v>
      </c>
      <c r="B2">
        <v>417</v>
      </c>
      <c r="C2">
        <v>91</v>
      </c>
      <c r="D2">
        <v>0</v>
      </c>
      <c r="E2">
        <v>15.176</v>
      </c>
      <c r="F2">
        <v>19.989000000000001</v>
      </c>
      <c r="G2">
        <v>45.5</v>
      </c>
      <c r="H2">
        <v>77</v>
      </c>
      <c r="I2">
        <v>3503.5</v>
      </c>
      <c r="J2">
        <v>0</v>
      </c>
      <c r="K2">
        <v>0</v>
      </c>
      <c r="L2">
        <v>2.4510000000000001</v>
      </c>
      <c r="M2">
        <v>4.1319999999999997</v>
      </c>
    </row>
    <row r="3" spans="1:13">
      <c r="A3" s="1">
        <v>46110.710706018515</v>
      </c>
      <c r="B3">
        <v>403</v>
      </c>
      <c r="C3">
        <v>160</v>
      </c>
      <c r="D3">
        <v>0</v>
      </c>
      <c r="E3">
        <v>463.40600000000001</v>
      </c>
      <c r="F3">
        <v>404.92500000000001</v>
      </c>
      <c r="G3">
        <v>80</v>
      </c>
      <c r="H3">
        <v>105.05</v>
      </c>
      <c r="I3">
        <v>8404</v>
      </c>
      <c r="J3">
        <v>51</v>
      </c>
      <c r="K3">
        <v>0</v>
      </c>
      <c r="L3">
        <v>107.956</v>
      </c>
      <c r="M3">
        <v>174.83799999999999</v>
      </c>
    </row>
    <row r="4" spans="1:13">
      <c r="A4" s="1">
        <v>46110.710729166669</v>
      </c>
      <c r="B4">
        <v>106</v>
      </c>
      <c r="C4">
        <v>232</v>
      </c>
      <c r="D4">
        <v>0</v>
      </c>
      <c r="E4">
        <v>611.90099999999995</v>
      </c>
      <c r="F4">
        <v>290.39</v>
      </c>
      <c r="G4">
        <v>116</v>
      </c>
      <c r="H4">
        <v>165</v>
      </c>
      <c r="I4">
        <v>19140</v>
      </c>
      <c r="J4">
        <v>232</v>
      </c>
      <c r="K4">
        <v>0</v>
      </c>
      <c r="L4">
        <v>158.267</v>
      </c>
      <c r="M4">
        <v>240.203</v>
      </c>
    </row>
    <row r="5" spans="1:13">
      <c r="A5" s="1">
        <v>46110.710752314815</v>
      </c>
      <c r="B5">
        <v>2</v>
      </c>
      <c r="C5">
        <v>16</v>
      </c>
      <c r="D5">
        <v>0</v>
      </c>
      <c r="E5">
        <v>8.1880000000000006</v>
      </c>
      <c r="F5">
        <v>2.5550000000000002</v>
      </c>
      <c r="G5">
        <v>8</v>
      </c>
      <c r="H5">
        <v>165</v>
      </c>
      <c r="I5">
        <v>1320</v>
      </c>
      <c r="J5">
        <v>16</v>
      </c>
      <c r="K5">
        <v>0</v>
      </c>
      <c r="L5">
        <v>2.1880000000000002</v>
      </c>
      <c r="M5">
        <v>3.1880000000000002</v>
      </c>
    </row>
    <row r="6" spans="1:13">
      <c r="A6" s="1">
        <v>46110.710775462961</v>
      </c>
      <c r="B6">
        <v>0</v>
      </c>
      <c r="C6">
        <v>1</v>
      </c>
      <c r="D6">
        <v>0</v>
      </c>
      <c r="E6">
        <v>12</v>
      </c>
      <c r="F6">
        <v>0</v>
      </c>
      <c r="G6">
        <v>0.5</v>
      </c>
      <c r="H6">
        <v>165</v>
      </c>
      <c r="I6">
        <v>82.5</v>
      </c>
      <c r="J6">
        <v>1</v>
      </c>
      <c r="K6">
        <v>0</v>
      </c>
      <c r="L6">
        <v>3</v>
      </c>
      <c r="M6">
        <v>5</v>
      </c>
    </row>
    <row r="11" spans="1:13">
      <c r="A11">
        <f>C2</f>
        <v>91</v>
      </c>
      <c r="B11">
        <f t="shared" ref="B11:C15" si="0">E2</f>
        <v>15.176</v>
      </c>
      <c r="C11">
        <f t="shared" si="0"/>
        <v>19.989000000000001</v>
      </c>
    </row>
    <row r="12" spans="1:13">
      <c r="A12">
        <f>C3</f>
        <v>160</v>
      </c>
      <c r="B12">
        <f t="shared" si="0"/>
        <v>463.40600000000001</v>
      </c>
      <c r="C12">
        <f t="shared" si="0"/>
        <v>404.92500000000001</v>
      </c>
    </row>
    <row r="13" spans="1:13">
      <c r="A13">
        <f>C4</f>
        <v>232</v>
      </c>
      <c r="B13">
        <f t="shared" si="0"/>
        <v>611.90099999999995</v>
      </c>
      <c r="C13">
        <f t="shared" si="0"/>
        <v>290.39</v>
      </c>
    </row>
    <row r="14" spans="1:13">
      <c r="A14">
        <f>C5</f>
        <v>16</v>
      </c>
      <c r="B14">
        <f t="shared" si="0"/>
        <v>8.1880000000000006</v>
      </c>
      <c r="C14">
        <f t="shared" si="0"/>
        <v>2.5550000000000002</v>
      </c>
    </row>
    <row r="15" spans="1:13">
      <c r="A15">
        <f>C6</f>
        <v>1</v>
      </c>
      <c r="B15">
        <f t="shared" si="0"/>
        <v>12</v>
      </c>
      <c r="C15">
        <f t="shared" si="0"/>
        <v>0</v>
      </c>
    </row>
    <row r="17" spans="2:2">
      <c r="B17">
        <f>A11*B11</f>
        <v>1381.0160000000001</v>
      </c>
    </row>
    <row r="18" spans="2:2">
      <c r="B18">
        <f>A12*B12</f>
        <v>74144.960000000006</v>
      </c>
    </row>
    <row r="19" spans="2:2">
      <c r="B19">
        <f>A13*B13</f>
        <v>141961.03199999998</v>
      </c>
    </row>
    <row r="20" spans="2:2">
      <c r="B20">
        <f>A14*B14</f>
        <v>131.00800000000001</v>
      </c>
    </row>
    <row r="21" spans="2:2">
      <c r="B21">
        <f>A15*B15</f>
        <v>12</v>
      </c>
    </row>
    <row r="22" spans="2:2">
      <c r="B22">
        <f>SUM(B17:B21)</f>
        <v>217630.01599999997</v>
      </c>
    </row>
    <row r="23" spans="2:2">
      <c r="B23">
        <f>SUM(A11:A15)</f>
        <v>500</v>
      </c>
    </row>
    <row r="24" spans="2:2">
      <c r="B24">
        <f>B22/B23</f>
        <v>435.26003199999997</v>
      </c>
    </row>
    <row r="25" spans="2:2">
      <c r="B25">
        <f>ROUND(B24,2)</f>
        <v>435.26</v>
      </c>
    </row>
    <row r="27" spans="2:2">
      <c r="B27">
        <f>POWER(C11,2)</f>
        <v>399.56012100000004</v>
      </c>
    </row>
    <row r="28" spans="2:2">
      <c r="B28">
        <f>POWER(C12,2)</f>
        <v>163964.25562500002</v>
      </c>
    </row>
    <row r="29" spans="2:2">
      <c r="B29">
        <f>POWER(C13,2)</f>
        <v>84326.352099999989</v>
      </c>
    </row>
    <row r="30" spans="2:2">
      <c r="B30">
        <f>POWER(C14,2)</f>
        <v>6.5280250000000004</v>
      </c>
    </row>
    <row r="31" spans="2:2">
      <c r="B31">
        <f>POWER(C15,2)</f>
        <v>0</v>
      </c>
    </row>
    <row r="32" spans="2:2">
      <c r="B32">
        <f>POWER(B11,2)</f>
        <v>230.31097600000001</v>
      </c>
    </row>
    <row r="33" spans="2:2">
      <c r="B33">
        <f>POWER(B12,2)</f>
        <v>214745.12083600002</v>
      </c>
    </row>
    <row r="34" spans="2:2">
      <c r="B34">
        <f>POWER(B13,2)</f>
        <v>374422.83380099997</v>
      </c>
    </row>
    <row r="35" spans="2:2">
      <c r="B35">
        <f>POWER(B14,2)</f>
        <v>67.043344000000005</v>
      </c>
    </row>
    <row r="36" spans="2:2">
      <c r="B36">
        <f>POWER(B15,2)</f>
        <v>144</v>
      </c>
    </row>
    <row r="37" spans="2:2">
      <c r="B37">
        <f>B27+B32</f>
        <v>629.87109700000008</v>
      </c>
    </row>
    <row r="38" spans="2:2">
      <c r="B38">
        <f>B28+B33</f>
        <v>378709.37646100007</v>
      </c>
    </row>
    <row r="39" spans="2:2">
      <c r="B39">
        <f>B29+B34</f>
        <v>458749.18590099993</v>
      </c>
    </row>
    <row r="40" spans="2:2">
      <c r="B40">
        <f>B30+B35</f>
        <v>73.571369000000004</v>
      </c>
    </row>
    <row r="41" spans="2:2">
      <c r="B41">
        <f>B31+B36</f>
        <v>144</v>
      </c>
    </row>
    <row r="42" spans="2:2">
      <c r="B42">
        <f>A11*B37</f>
        <v>57318.269827000004</v>
      </c>
    </row>
    <row r="43" spans="2:2">
      <c r="B43">
        <f>A12*B38</f>
        <v>60593500.233760014</v>
      </c>
    </row>
    <row r="44" spans="2:2">
      <c r="B44">
        <f>A13*B39</f>
        <v>106429811.12903199</v>
      </c>
    </row>
    <row r="45" spans="2:2">
      <c r="B45">
        <f>A14*B40</f>
        <v>1177.1419040000001</v>
      </c>
    </row>
    <row r="46" spans="2:2">
      <c r="B46">
        <f>A15*B41</f>
        <v>144</v>
      </c>
    </row>
    <row r="47" spans="2:2">
      <c r="B47">
        <f>SUM(B42:B46)</f>
        <v>167081950.77452299</v>
      </c>
    </row>
    <row r="48" spans="2:2">
      <c r="B48">
        <f>B47/B23</f>
        <v>334163.90154904599</v>
      </c>
    </row>
    <row r="51" spans="2:2">
      <c r="B51">
        <f>B48-POWER(B24,2)</f>
        <v>144712.60609240498</v>
      </c>
    </row>
    <row r="53" spans="2:2">
      <c r="B53">
        <f>SQRT(LN(1+B51/POWER(B24,2)))</f>
        <v>0.75332570670589205</v>
      </c>
    </row>
    <row r="56" spans="2:2">
      <c r="B56">
        <f>LN(B24)-POWER(B53,2)/2</f>
        <v>5.7921938170132279</v>
      </c>
    </row>
    <row r="59" spans="2:2">
      <c r="B59">
        <f>EXP(B56+1.64485*B53)</f>
        <v>1131.5024221082635</v>
      </c>
    </row>
    <row r="60" spans="2:2">
      <c r="B60">
        <f>ROUND(B59,2)</f>
        <v>1131.5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pub-sub-lock-500-ngrinder-resul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2026-03-29T21:35:28Z</dcterms:created>
  <dcterms:modified xsi:type="dcterms:W3CDTF">2026-03-29T21:36:48Z</dcterms:modified>
</cp:coreProperties>
</file>