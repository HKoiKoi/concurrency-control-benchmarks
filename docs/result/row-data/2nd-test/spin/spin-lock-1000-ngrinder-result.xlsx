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spin/"/>
    </mc:Choice>
  </mc:AlternateContent>
  <xr:revisionPtr revIDLastSave="0" documentId="13_ncr:9_{76EE133D-91EF-7A4B-A556-BA16C3DBC0D0}" xr6:coauthVersionLast="47" xr6:coauthVersionMax="47" xr10:uidLastSave="{00000000-0000-0000-0000-000000000000}"/>
  <bookViews>
    <workbookView xWindow="14700" yWindow="660" windowWidth="14700" windowHeight="18460" xr2:uid="{0C1C0346-4BE6-D44F-ACFE-88DA425E85B6}"/>
  </bookViews>
  <sheets>
    <sheet name="spin-lock-10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15" i="1"/>
  <c r="B36" i="1" s="1"/>
  <c r="A15" i="1"/>
  <c r="B21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7" i="1" l="1"/>
  <c r="B41" i="1"/>
  <c r="B42" i="1"/>
  <c r="B38" i="1"/>
  <c r="B43" i="1" s="1"/>
  <c r="B46" i="1"/>
  <c r="B17" i="1"/>
  <c r="B18" i="1"/>
  <c r="B22" i="1" l="1"/>
  <c r="B24" i="1" s="1"/>
  <c r="B47" i="1"/>
  <c r="B48" i="1" s="1"/>
  <c r="B51" i="1" s="1"/>
  <c r="B53" i="1" s="1"/>
  <c r="B56" i="1" l="1"/>
  <c r="B59" i="1" s="1"/>
  <c r="B60" i="1" s="1"/>
  <c r="B25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<sst xmlns="http://schemas.openxmlformats.org/spreadsheetml/2006/main" count="13" uniqueCount="13">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</sst>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507E203-FDC1-794F-A97A-65183AB9DB3A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507E203-FDC1-794F-A97A-65183AB9DB3A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CB9BC29-FE6E-B947-9872-4EFDC8CA9C1E}"/>
                </a:ext>
              </a:extLst>
            </xdr:cNvPr>
            <xdr:cNvSpPr txBox="1"/>
          </xdr:nvSpPr>
          <xdr:spPr>
            <a:xfrm>
              <a:off x="22098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CB9BC29-FE6E-B947-9872-4EFDC8CA9C1E}"/>
                </a:ext>
              </a:extLst>
            </xdr:cNvPr>
            <xdr:cNvSpPr txBox="1"/>
          </xdr:nvSpPr>
          <xdr:spPr>
            <a:xfrm>
              <a:off x="22098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D87C513-5ED6-A344-AB46-9C2816957BAB}"/>
                </a:ext>
              </a:extLst>
            </xdr:cNvPr>
            <xdr:cNvSpPr txBox="1"/>
          </xdr:nvSpPr>
          <xdr:spPr>
            <a:xfrm>
              <a:off x="33401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D87C513-5ED6-A344-AB46-9C2816957BAB}"/>
                </a:ext>
              </a:extLst>
            </xdr:cNvPr>
            <xdr:cNvSpPr txBox="1"/>
          </xdr:nvSpPr>
          <xdr:spPr>
            <a:xfrm>
              <a:off x="33401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2942D04-1CF1-E04A-BE70-940CB7E0B077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2942D04-1CF1-E04A-BE70-940CB7E0B077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4019D34-D6A5-3146-A663-9B5658734E9C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4019D34-D6A5-3146-A663-9B5658734E9C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7F04D14-FAAE-084D-8770-0D7C5745DCCE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7F04D14-FAAE-084D-8770-0D7C5745DCCE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1E1250F-F69C-F04C-BED5-C7BF06EFEDCF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1E1250F-F69C-F04C-BED5-C7BF06EFEDCF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F88AB46-DCB0-6541-9F1E-28D984707CA1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F88AB46-DCB0-6541-9F1E-28D984707CA1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D3B8C5B-4440-0E40-A537-38591584517E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D3B8C5B-4440-0E40-A537-38591584517E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CF35272-EBA2-CA4B-9BA2-F93664D27B1C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CF35272-EBA2-CA4B-9BA2-F93664D27B1C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D103FFF-93AB-E040-8D44-40A08F0DD791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D103FFF-93AB-E040-8D44-40A08F0DD791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14C75C1-7416-4E4E-A903-DEE2C95F83F7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14C75C1-7416-4E4E-A903-DEE2C95F83F7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D756401-6D93-B444-BC3D-3BEE44B99BE4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D756401-6D93-B444-BC3D-3BEE44B99BE4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5242B51-5EFB-044C-8E8D-EBBFAC60B3A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5242B51-5EFB-044C-8E8D-EBBFAC60B3A4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791DC83-7848-8B4E-AF1B-AEA967BA17A6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791DC83-7848-8B4E-AF1B-AEA967BA17A6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BA79232-7358-5649-8449-2F55544D301B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BA79232-7358-5649-8449-2F55544D301B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7E1DEE3-B414-1248-AC22-89F42451C71A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7E1DEE3-B414-1248-AC22-89F42451C71A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A10B-A851-1B47-9ED4-B6AFA011C290}">
  <dimension ref="A1:M60"/>
  <sheetViews>
    <sheetView tabSelected="1" topLeftCell="A34" workbookViewId="0">
      <selection activeCell="E51" sqref="E51"/>
    </sheetView>
  </sheetViews>
  <sheetFormatPr baseColWidth="10" defaultRowHeight="18"/>
  <cols>
    <col min="1" max="1" width="24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46110.703784722224</v>
      </c>
      <c r="B2">
        <v>926</v>
      </c>
      <c r="C2">
        <v>117</v>
      </c>
      <c r="D2">
        <v>0</v>
      </c>
      <c r="E2">
        <v>351.709</v>
      </c>
      <c r="F2">
        <v>506.15100000000001</v>
      </c>
      <c r="G2">
        <v>58.5</v>
      </c>
      <c r="H2">
        <v>74</v>
      </c>
      <c r="I2">
        <v>4329</v>
      </c>
      <c r="J2">
        <v>0</v>
      </c>
      <c r="K2">
        <v>0</v>
      </c>
      <c r="L2">
        <v>78.102999999999994</v>
      </c>
      <c r="M2">
        <v>110.265</v>
      </c>
    </row>
    <row r="3" spans="1:13">
      <c r="A3" s="1">
        <v>46110.70380787037</v>
      </c>
      <c r="B3">
        <v>418</v>
      </c>
      <c r="C3">
        <v>469</v>
      </c>
      <c r="D3">
        <v>0</v>
      </c>
      <c r="E3">
        <v>1469.7159999999999</v>
      </c>
      <c r="F3">
        <v>654.50300000000004</v>
      </c>
      <c r="G3">
        <v>234.5</v>
      </c>
      <c r="H3">
        <v>148.89599999999999</v>
      </c>
      <c r="I3">
        <v>34916</v>
      </c>
      <c r="J3">
        <v>386</v>
      </c>
      <c r="K3">
        <v>0</v>
      </c>
      <c r="L3">
        <v>370.21699999999998</v>
      </c>
      <c r="M3">
        <v>422.13600000000002</v>
      </c>
    </row>
    <row r="4" spans="1:13">
      <c r="A4" s="1">
        <v>46110.703831018516</v>
      </c>
      <c r="B4">
        <v>302</v>
      </c>
      <c r="C4">
        <v>156</v>
      </c>
      <c r="D4">
        <v>0</v>
      </c>
      <c r="E4">
        <v>1127.0899999999999</v>
      </c>
      <c r="F4">
        <v>469.01799999999997</v>
      </c>
      <c r="G4">
        <v>78</v>
      </c>
      <c r="H4">
        <v>165</v>
      </c>
      <c r="I4">
        <v>12870</v>
      </c>
      <c r="J4">
        <v>156</v>
      </c>
      <c r="K4">
        <v>0</v>
      </c>
      <c r="L4">
        <v>350.39699999999999</v>
      </c>
      <c r="M4">
        <v>478.077</v>
      </c>
    </row>
    <row r="5" spans="1:13">
      <c r="A5" s="1">
        <v>46110.70385416667</v>
      </c>
      <c r="B5">
        <v>7</v>
      </c>
      <c r="C5">
        <v>255</v>
      </c>
      <c r="D5">
        <v>0</v>
      </c>
      <c r="E5">
        <v>874.91700000000003</v>
      </c>
      <c r="F5">
        <v>365.35</v>
      </c>
      <c r="G5">
        <v>126.5</v>
      </c>
      <c r="H5">
        <v>165</v>
      </c>
      <c r="I5">
        <v>20872.5</v>
      </c>
      <c r="J5">
        <v>253</v>
      </c>
      <c r="K5">
        <v>0</v>
      </c>
      <c r="L5">
        <v>278.54899999999998</v>
      </c>
      <c r="M5">
        <v>327.05500000000001</v>
      </c>
    </row>
    <row r="6" spans="1:13">
      <c r="A6" s="1">
        <v>46110.703888888886</v>
      </c>
      <c r="B6">
        <v>0</v>
      </c>
      <c r="C6">
        <v>3</v>
      </c>
      <c r="D6">
        <v>0</v>
      </c>
      <c r="E6">
        <v>8</v>
      </c>
      <c r="F6">
        <v>1.633</v>
      </c>
      <c r="G6">
        <v>1.5</v>
      </c>
      <c r="H6">
        <v>165</v>
      </c>
      <c r="I6">
        <v>247.5</v>
      </c>
      <c r="J6">
        <v>3</v>
      </c>
      <c r="K6">
        <v>0</v>
      </c>
      <c r="L6">
        <v>1.667</v>
      </c>
      <c r="M6">
        <v>2.6669999999999998</v>
      </c>
    </row>
    <row r="11" spans="1:13">
      <c r="A11">
        <f>C2</f>
        <v>117</v>
      </c>
      <c r="B11">
        <f t="shared" ref="B11:C15" si="0">E2</f>
        <v>351.709</v>
      </c>
      <c r="C11">
        <f t="shared" si="0"/>
        <v>506.15100000000001</v>
      </c>
    </row>
    <row r="12" spans="1:13">
      <c r="A12">
        <f>C3</f>
        <v>469</v>
      </c>
      <c r="B12">
        <f t="shared" si="0"/>
        <v>1469.7159999999999</v>
      </c>
      <c r="C12">
        <f t="shared" si="0"/>
        <v>654.50300000000004</v>
      </c>
    </row>
    <row r="13" spans="1:13">
      <c r="A13">
        <f>C4</f>
        <v>156</v>
      </c>
      <c r="B13">
        <f t="shared" si="0"/>
        <v>1127.0899999999999</v>
      </c>
      <c r="C13">
        <f t="shared" si="0"/>
        <v>469.01799999999997</v>
      </c>
    </row>
    <row r="14" spans="1:13">
      <c r="A14">
        <f>C5</f>
        <v>255</v>
      </c>
      <c r="B14">
        <f t="shared" si="0"/>
        <v>874.91700000000003</v>
      </c>
      <c r="C14">
        <f t="shared" si="0"/>
        <v>365.35</v>
      </c>
    </row>
    <row r="15" spans="1:13">
      <c r="A15">
        <f>C6</f>
        <v>3</v>
      </c>
      <c r="B15">
        <f t="shared" si="0"/>
        <v>8</v>
      </c>
      <c r="C15">
        <f t="shared" si="0"/>
        <v>1.633</v>
      </c>
    </row>
    <row r="17" spans="2:2">
      <c r="B17">
        <f>A11*B11</f>
        <v>41149.953000000001</v>
      </c>
    </row>
    <row r="18" spans="2:2">
      <c r="B18">
        <f>A12*B12</f>
        <v>689296.804</v>
      </c>
    </row>
    <row r="19" spans="2:2">
      <c r="B19">
        <f>A13*B13</f>
        <v>175826.03999999998</v>
      </c>
    </row>
    <row r="20" spans="2:2">
      <c r="B20">
        <f>A14*B14</f>
        <v>223103.83500000002</v>
      </c>
    </row>
    <row r="21" spans="2:2">
      <c r="B21">
        <f>A15*B15</f>
        <v>24</v>
      </c>
    </row>
    <row r="22" spans="2:2">
      <c r="B22">
        <f>SUM(B17:B21)</f>
        <v>1129400.632</v>
      </c>
    </row>
    <row r="23" spans="2:2">
      <c r="B23">
        <f>SUM(A11:A15)</f>
        <v>1000</v>
      </c>
    </row>
    <row r="24" spans="2:2">
      <c r="B24">
        <f>B22/B23</f>
        <v>1129.4006320000001</v>
      </c>
    </row>
    <row r="25" spans="2:2">
      <c r="B25">
        <f>ROUND(B24,2)</f>
        <v>1129.4000000000001</v>
      </c>
    </row>
    <row r="27" spans="2:2">
      <c r="B27">
        <f>POWER(C11,2)</f>
        <v>256188.83480100002</v>
      </c>
    </row>
    <row r="28" spans="2:2">
      <c r="B28">
        <f>POWER(C12,2)</f>
        <v>428374.17700900004</v>
      </c>
    </row>
    <row r="29" spans="2:2">
      <c r="B29">
        <f>POWER(C13,2)</f>
        <v>219977.88432399998</v>
      </c>
    </row>
    <row r="30" spans="2:2">
      <c r="B30">
        <f>POWER(C14,2)</f>
        <v>133480.62250000003</v>
      </c>
    </row>
    <row r="31" spans="2:2">
      <c r="B31">
        <f>POWER(C15,2)</f>
        <v>2.6666889999999999</v>
      </c>
    </row>
    <row r="32" spans="2:2">
      <c r="B32">
        <f>POWER(B11,2)</f>
        <v>123699.22068100001</v>
      </c>
    </row>
    <row r="33" spans="2:2">
      <c r="B33">
        <f>POWER(B12,2)</f>
        <v>2160065.1206559995</v>
      </c>
    </row>
    <row r="34" spans="2:2">
      <c r="B34">
        <f>POWER(B13,2)</f>
        <v>1270331.8680999998</v>
      </c>
    </row>
    <row r="35" spans="2:2">
      <c r="B35">
        <f>POWER(B14,2)</f>
        <v>765479.75688900007</v>
      </c>
    </row>
    <row r="36" spans="2:2">
      <c r="B36">
        <f>POWER(B15,2)</f>
        <v>64</v>
      </c>
    </row>
    <row r="37" spans="2:2">
      <c r="B37">
        <f>B27+B32</f>
        <v>379888.055482</v>
      </c>
    </row>
    <row r="38" spans="2:2">
      <c r="B38">
        <f>B28+B33</f>
        <v>2588439.2976649995</v>
      </c>
    </row>
    <row r="39" spans="2:2">
      <c r="B39">
        <f>B29+B34</f>
        <v>1490309.7524239998</v>
      </c>
    </row>
    <row r="40" spans="2:2">
      <c r="B40">
        <f>B30+B35</f>
        <v>898960.37938900013</v>
      </c>
    </row>
    <row r="41" spans="2:2">
      <c r="B41">
        <f>B31+B36</f>
        <v>66.666689000000005</v>
      </c>
    </row>
    <row r="42" spans="2:2">
      <c r="B42">
        <f>A11*B37</f>
        <v>44446902.491393998</v>
      </c>
    </row>
    <row r="43" spans="2:2">
      <c r="B43">
        <f>A12*B38</f>
        <v>1213978030.6048849</v>
      </c>
    </row>
    <row r="44" spans="2:2">
      <c r="B44">
        <f>A13*B39</f>
        <v>232488321.37814397</v>
      </c>
    </row>
    <row r="45" spans="2:2">
      <c r="B45">
        <f>A14*B40</f>
        <v>229234896.74419504</v>
      </c>
    </row>
    <row r="46" spans="2:2">
      <c r="B46">
        <f>A15*B41</f>
        <v>200.000067</v>
      </c>
    </row>
    <row r="47" spans="2:2">
      <c r="B47">
        <f>SUM(B42:B46)</f>
        <v>1720148351.2186849</v>
      </c>
    </row>
    <row r="48" spans="2:2">
      <c r="B48">
        <f>B47/B23</f>
        <v>1720148.3512186848</v>
      </c>
    </row>
    <row r="51" spans="2:2">
      <c r="B51">
        <f>B48-POWER(B24,2)</f>
        <v>444602.56365668518</v>
      </c>
    </row>
    <row r="53" spans="2:2">
      <c r="B53">
        <f>SQRT(LN(1+B51/POWER(B24,2)))</f>
        <v>0.54684219124287636</v>
      </c>
    </row>
    <row r="56" spans="2:2">
      <c r="B56">
        <f>LN(B24)-POWER(B53,2)/2</f>
        <v>6.879924165766087</v>
      </c>
    </row>
    <row r="59" spans="2:2">
      <c r="B59">
        <f>EXP(B56+1.64485*B53)</f>
        <v>2390.8340143492078</v>
      </c>
    </row>
    <row r="60" spans="2:2">
      <c r="B60">
        <f>ROUND(B59,2)</f>
        <v>2390.83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spin-lock-1000-ngrinder-result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2026-03-29T21:14:29Z</dcterms:created>
  <dcterms:modified xsi:type="dcterms:W3CDTF">2026-03-29T21:15:38Z</dcterms:modified>
</cp:coreProperties>
</file>