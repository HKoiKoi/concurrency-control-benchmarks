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spin/"/>
    </mc:Choice>
  </mc:AlternateContent>
  <xr:revisionPtr revIDLastSave="0" documentId="13_ncr:9_{8A483696-0C7E-7640-B61E-2255C7ECBF46}" xr6:coauthVersionLast="47" xr6:coauthVersionMax="47" xr10:uidLastSave="{00000000-0000-0000-0000-000000000000}"/>
  <bookViews>
    <workbookView xWindow="14700" yWindow="660" windowWidth="14700" windowHeight="18460" xr2:uid="{038420EB-5D57-DC47-A2CC-A40EDDD0EB55}"/>
  </bookViews>
  <sheets>
    <sheet name="spin-lock-5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29" i="1"/>
  <c r="B39" i="1" s="1"/>
  <c r="B44" i="1" s="1"/>
  <c r="B23" i="1"/>
  <c r="C15" i="1"/>
  <c r="B31" i="1" s="1"/>
  <c r="B41" i="1" s="1"/>
  <c r="B15" i="1"/>
  <c r="A15" i="1"/>
  <c r="B21" i="1" s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7" i="1" l="1"/>
  <c r="B42" i="1" s="1"/>
  <c r="B38" i="1"/>
  <c r="B43" i="1" s="1"/>
  <c r="B46" i="1"/>
  <c r="B17" i="1"/>
  <c r="B22" i="1" s="1"/>
  <c r="B24" i="1" s="1"/>
  <c r="B18" i="1"/>
  <c r="B47" i="1" l="1"/>
  <c r="B48" i="1" s="1"/>
  <c r="B51" i="1" s="1"/>
  <c r="B53" i="1" s="1"/>
  <c r="B56" i="1" s="1"/>
  <c r="B59" i="1" s="1"/>
  <c r="B60" i="1" s="1"/>
  <c r="B25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<sst xmlns="http://schemas.openxmlformats.org/spreadsheetml/2006/main" count="13" uniqueCount="13">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</sst>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86452BB-F9BE-4B4D-8692-0FF20775AD98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86452BB-F9BE-4B4D-8692-0FF20775AD98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BCF355D-2FE5-FF4E-A530-3841DDF066A0}"/>
                </a:ext>
              </a:extLst>
            </xdr:cNvPr>
            <xdr:cNvSpPr txBox="1"/>
          </xdr:nvSpPr>
          <xdr:spPr>
            <a:xfrm>
              <a:off x="21590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BCF355D-2FE5-FF4E-A530-3841DDF066A0}"/>
                </a:ext>
              </a:extLst>
            </xdr:cNvPr>
            <xdr:cNvSpPr txBox="1"/>
          </xdr:nvSpPr>
          <xdr:spPr>
            <a:xfrm>
              <a:off x="21590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E734B15-2BB2-1444-BD23-46B58CC264A5}"/>
                </a:ext>
              </a:extLst>
            </xdr:cNvPr>
            <xdr:cNvSpPr txBox="1"/>
          </xdr:nvSpPr>
          <xdr:spPr>
            <a:xfrm>
              <a:off x="32893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E734B15-2BB2-1444-BD23-46B58CC264A5}"/>
                </a:ext>
              </a:extLst>
            </xdr:cNvPr>
            <xdr:cNvSpPr txBox="1"/>
          </xdr:nvSpPr>
          <xdr:spPr>
            <a:xfrm>
              <a:off x="32893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8875AFF-7AD7-3943-AC9F-2E49E2AD3001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8875AFF-7AD7-3943-AC9F-2E49E2AD3001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A89C84A-4E96-5947-B3ED-1F74C2A04F71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A89C84A-4E96-5947-B3ED-1F74C2A04F71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6A6856C-4C3B-5147-95F0-85E574D7994F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6A6856C-4C3B-5147-95F0-85E574D7994F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839D458-1359-3148-9AC5-BBC629A22F38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839D458-1359-3148-9AC5-BBC629A22F38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2FCE7CC-5DB1-1F4C-B4D3-27B2630AF6ED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2FCE7CC-5DB1-1F4C-B4D3-27B2630AF6ED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2D0FB95-C7F0-7F47-889C-ED7B35D8B908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2D0FB95-C7F0-7F47-889C-ED7B35D8B908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BD9966F-BB8E-2140-8E2E-06ED536E4DAE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BD9966F-BB8E-2140-8E2E-06ED536E4DAE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BA15896-4E98-3940-95CA-D7F188EC1F95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BA15896-4E98-3940-95CA-D7F188EC1F95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A92783E-D0C9-8C4C-97E2-FDB7A85418A3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A92783E-D0C9-8C4C-97E2-FDB7A85418A3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AC45A28-8DCB-C643-A258-2BDC059DC6FA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AC45A28-8DCB-C643-A258-2BDC059DC6FA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2A26486-D07D-3640-B52B-A48DC8E041B2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2A26486-D07D-3640-B52B-A48DC8E041B2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67B5A77-FEA3-EF44-B9B6-7D67D78027B2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67B5A77-FEA3-EF44-B9B6-7D67D78027B2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F9D3311-F7DC-A844-B066-80F4D54C4A2A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F9D3311-F7DC-A844-B066-80F4D54C4A2A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FB87772-C5EC-DD48-BC06-F3E815DD37F5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FB87772-C5EC-DD48-BC06-F3E815DD37F5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8DCC-40C5-BB48-B026-8E69CFFF5C8E}">
  <dimension ref="A1:M60"/>
  <sheetViews>
    <sheetView tabSelected="1" topLeftCell="A33" workbookViewId="0">
      <selection activeCell="D48" sqref="D48"/>
    </sheetView>
  </sheetViews>
  <sheetFormatPr baseColWidth="10" defaultRowHeight="18"/>
  <cols>
    <col min="1" max="1" width="25.1406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5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46110.689826388887</v>
      </c>
      <c r="B2">
        <v>417</v>
      </c>
      <c r="C2">
        <v>83</v>
      </c>
      <c r="D2">
        <v>0</v>
      </c>
      <c r="E2">
        <v>21.494</v>
      </c>
      <c r="F2">
        <v>24.681999999999999</v>
      </c>
      <c r="G2">
        <v>41.5</v>
      </c>
      <c r="H2">
        <v>74</v>
      </c>
      <c r="I2">
        <v>3071</v>
      </c>
      <c r="J2">
        <v>0</v>
      </c>
      <c r="K2">
        <v>0</v>
      </c>
      <c r="L2">
        <v>2.7829999999999999</v>
      </c>
      <c r="M2">
        <v>5.1689999999999996</v>
      </c>
    </row>
    <row r="3" spans="1:13">
      <c r="A3" s="1">
        <v>46110.689849537041</v>
      </c>
      <c r="B3">
        <v>403</v>
      </c>
      <c r="C3">
        <v>14</v>
      </c>
      <c r="D3">
        <v>0</v>
      </c>
      <c r="E3">
        <v>8.6430000000000007</v>
      </c>
      <c r="F3">
        <v>1.2310000000000001</v>
      </c>
      <c r="G3">
        <v>7</v>
      </c>
      <c r="H3">
        <v>74</v>
      </c>
      <c r="I3">
        <v>518</v>
      </c>
      <c r="J3">
        <v>0</v>
      </c>
      <c r="K3">
        <v>0</v>
      </c>
      <c r="L3">
        <v>1.357</v>
      </c>
      <c r="M3">
        <v>2.4289999999999998</v>
      </c>
    </row>
    <row r="4" spans="1:13">
      <c r="A4" s="1">
        <v>46110.689872685187</v>
      </c>
      <c r="B4">
        <v>400</v>
      </c>
      <c r="C4">
        <v>3</v>
      </c>
      <c r="D4">
        <v>0</v>
      </c>
      <c r="E4">
        <v>9.6669999999999998</v>
      </c>
      <c r="F4">
        <v>1.2470000000000001</v>
      </c>
      <c r="G4">
        <v>1.5</v>
      </c>
      <c r="H4">
        <v>74</v>
      </c>
      <c r="I4">
        <v>111</v>
      </c>
      <c r="J4">
        <v>0</v>
      </c>
      <c r="K4">
        <v>0</v>
      </c>
      <c r="L4">
        <v>1.333</v>
      </c>
      <c r="M4">
        <v>2.3330000000000002</v>
      </c>
    </row>
    <row r="5" spans="1:13">
      <c r="A5" s="1">
        <v>46110.689895833333</v>
      </c>
      <c r="B5">
        <v>138</v>
      </c>
      <c r="C5">
        <v>262</v>
      </c>
      <c r="D5">
        <v>0</v>
      </c>
      <c r="E5">
        <v>938.721</v>
      </c>
      <c r="F5">
        <v>297.04000000000002</v>
      </c>
      <c r="G5">
        <v>131</v>
      </c>
      <c r="H5">
        <v>130.267</v>
      </c>
      <c r="I5">
        <v>17065</v>
      </c>
      <c r="J5">
        <v>162</v>
      </c>
      <c r="K5">
        <v>0</v>
      </c>
      <c r="L5">
        <v>233.64500000000001</v>
      </c>
      <c r="M5">
        <v>304.96199999999999</v>
      </c>
    </row>
    <row r="6" spans="1:13">
      <c r="A6" s="1">
        <v>46110.689918981479</v>
      </c>
      <c r="B6">
        <v>0</v>
      </c>
      <c r="C6">
        <v>138</v>
      </c>
      <c r="D6">
        <v>0</v>
      </c>
      <c r="E6">
        <v>784.09400000000005</v>
      </c>
      <c r="F6">
        <v>379.54199999999997</v>
      </c>
      <c r="G6">
        <v>69</v>
      </c>
      <c r="H6">
        <v>165</v>
      </c>
      <c r="I6">
        <v>11385</v>
      </c>
      <c r="J6">
        <v>138</v>
      </c>
      <c r="K6">
        <v>0</v>
      </c>
      <c r="L6">
        <v>224.797</v>
      </c>
      <c r="M6">
        <v>262.90600000000001</v>
      </c>
    </row>
    <row r="11" spans="1:13">
      <c r="A11">
        <f>C2</f>
        <v>83</v>
      </c>
      <c r="B11">
        <f t="shared" ref="B11:C15" si="0">E2</f>
        <v>21.494</v>
      </c>
      <c r="C11">
        <f t="shared" si="0"/>
        <v>24.681999999999999</v>
      </c>
    </row>
    <row r="12" spans="1:13">
      <c r="A12">
        <f>C3</f>
        <v>14</v>
      </c>
      <c r="B12">
        <f t="shared" si="0"/>
        <v>8.6430000000000007</v>
      </c>
      <c r="C12">
        <f t="shared" si="0"/>
        <v>1.2310000000000001</v>
      </c>
    </row>
    <row r="13" spans="1:13">
      <c r="A13">
        <f>C4</f>
        <v>3</v>
      </c>
      <c r="B13">
        <f t="shared" si="0"/>
        <v>9.6669999999999998</v>
      </c>
      <c r="C13">
        <f t="shared" si="0"/>
        <v>1.2470000000000001</v>
      </c>
    </row>
    <row r="14" spans="1:13">
      <c r="A14">
        <f>C5</f>
        <v>262</v>
      </c>
      <c r="B14">
        <f t="shared" si="0"/>
        <v>938.721</v>
      </c>
      <c r="C14">
        <f t="shared" si="0"/>
        <v>297.04000000000002</v>
      </c>
    </row>
    <row r="15" spans="1:13">
      <c r="A15">
        <f>C6</f>
        <v>138</v>
      </c>
      <c r="B15">
        <f t="shared" si="0"/>
        <v>784.09400000000005</v>
      </c>
      <c r="C15">
        <f t="shared" si="0"/>
        <v>379.54199999999997</v>
      </c>
    </row>
    <row r="17" spans="2:2">
      <c r="B17">
        <f>A11*B11</f>
        <v>1784.002</v>
      </c>
    </row>
    <row r="18" spans="2:2">
      <c r="B18">
        <f>A12*B12</f>
        <v>121.00200000000001</v>
      </c>
    </row>
    <row r="19" spans="2:2">
      <c r="B19">
        <f>A13*B13</f>
        <v>29.000999999999998</v>
      </c>
    </row>
    <row r="20" spans="2:2">
      <c r="B20">
        <f>A14*B14</f>
        <v>245944.902</v>
      </c>
    </row>
    <row r="21" spans="2:2">
      <c r="B21">
        <f>A15*B15</f>
        <v>108204.97200000001</v>
      </c>
    </row>
    <row r="22" spans="2:2">
      <c r="B22">
        <f>SUM(B17:B21)</f>
        <v>356083.87900000002</v>
      </c>
    </row>
    <row r="23" spans="2:2">
      <c r="B23">
        <f>SUM(A11:A15)</f>
        <v>500</v>
      </c>
    </row>
    <row r="24" spans="2:2">
      <c r="B24">
        <f>B22/B23</f>
        <v>712.16775800000005</v>
      </c>
    </row>
    <row r="25" spans="2:2">
      <c r="B25">
        <f>ROUND(B24,2)</f>
        <v>712.17</v>
      </c>
    </row>
    <row r="27" spans="2:2">
      <c r="B27">
        <f>POWER(C11,2)</f>
        <v>609.20112399999994</v>
      </c>
    </row>
    <row r="28" spans="2:2">
      <c r="B28">
        <f>POWER(C12,2)</f>
        <v>1.5153610000000002</v>
      </c>
    </row>
    <row r="29" spans="2:2">
      <c r="B29">
        <f>POWER(C13,2)</f>
        <v>1.5550090000000003</v>
      </c>
    </row>
    <row r="30" spans="2:2">
      <c r="B30">
        <f>POWER(C14,2)</f>
        <v>88232.761600000013</v>
      </c>
    </row>
    <row r="31" spans="2:2">
      <c r="B31">
        <f>POWER(C15,2)</f>
        <v>144052.12976399998</v>
      </c>
    </row>
    <row r="32" spans="2:2">
      <c r="B32">
        <f>POWER(B11,2)</f>
        <v>461.99203599999998</v>
      </c>
    </row>
    <row r="33" spans="2:2">
      <c r="B33">
        <f>POWER(B12,2)</f>
        <v>74.701449000000011</v>
      </c>
    </row>
    <row r="34" spans="2:2">
      <c r="B34">
        <f>POWER(B13,2)</f>
        <v>93.450888999999989</v>
      </c>
    </row>
    <row r="35" spans="2:2">
      <c r="B35">
        <f>POWER(B14,2)</f>
        <v>881197.11584099999</v>
      </c>
    </row>
    <row r="36" spans="2:2">
      <c r="B36">
        <f>POWER(B15,2)</f>
        <v>614803.4008360001</v>
      </c>
    </row>
    <row r="37" spans="2:2">
      <c r="B37">
        <f>B27+B32</f>
        <v>1071.1931599999998</v>
      </c>
    </row>
    <row r="38" spans="2:2">
      <c r="B38">
        <f>B28+B33</f>
        <v>76.216810000000009</v>
      </c>
    </row>
    <row r="39" spans="2:2">
      <c r="B39">
        <f>B29+B34</f>
        <v>95.005897999999988</v>
      </c>
    </row>
    <row r="40" spans="2:2">
      <c r="B40">
        <f>B30+B35</f>
        <v>969429.87744099996</v>
      </c>
    </row>
    <row r="41" spans="2:2">
      <c r="B41">
        <f>B31+B36</f>
        <v>758855.53060000006</v>
      </c>
    </row>
    <row r="42" spans="2:2">
      <c r="B42">
        <f>A11*B37</f>
        <v>88909.032279999985</v>
      </c>
    </row>
    <row r="43" spans="2:2">
      <c r="B43">
        <f>A12*B38</f>
        <v>1067.0353400000001</v>
      </c>
    </row>
    <row r="44" spans="2:2">
      <c r="B44">
        <f>A13*B39</f>
        <v>285.01769399999995</v>
      </c>
    </row>
    <row r="45" spans="2:2">
      <c r="B45">
        <f>A14*B40</f>
        <v>253990627.88954198</v>
      </c>
    </row>
    <row r="46" spans="2:2">
      <c r="B46">
        <f>A15*B41</f>
        <v>104722063.2228</v>
      </c>
    </row>
    <row r="47" spans="2:2">
      <c r="B47">
        <f>SUM(B42:B46)</f>
        <v>358802952.19765598</v>
      </c>
    </row>
    <row r="48" spans="2:2">
      <c r="B48">
        <f>B47/B23</f>
        <v>717605.90439531195</v>
      </c>
    </row>
    <row r="51" spans="2:2">
      <c r="B51">
        <f>B48-POWER(B24,2)</f>
        <v>210422.9888605653</v>
      </c>
    </row>
    <row r="53" spans="2:2">
      <c r="B53">
        <f>SQRT(LN(1+B51/POWER(B24,2)))</f>
        <v>0.58910849596085646</v>
      </c>
    </row>
    <row r="56" spans="2:2">
      <c r="B56">
        <f>LN(B24)-POWER(B53,2)/2</f>
        <v>6.39478908882099</v>
      </c>
    </row>
    <row r="59" spans="2:2">
      <c r="B59">
        <f>EXP(B56+1.64485*B53)</f>
        <v>1577.7959730512289</v>
      </c>
    </row>
    <row r="60" spans="2:2">
      <c r="B60">
        <f>ROUND(B59,2)</f>
        <v>1577.8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spin-lock-500-ngrinder-result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2026-03-29T21:12:08Z</dcterms:created>
  <dcterms:modified xsi:type="dcterms:W3CDTF">2026-03-29T21:13:11Z</dcterms:modified>
</cp:coreProperties>
</file>