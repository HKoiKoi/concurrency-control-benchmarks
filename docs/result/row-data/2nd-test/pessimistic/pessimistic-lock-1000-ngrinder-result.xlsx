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pessimistic/"/>
    </mc:Choice>
  </mc:AlternateContent>
  <xr:revisionPtr revIDLastSave="0" documentId="13_ncr:1_{A5B55698-9435-DE45-AF34-B40A68570C31}" xr6:coauthVersionLast="47" xr6:coauthVersionMax="47" xr10:uidLastSave="{00000000-0000-0000-0000-000000000000}"/>
  <bookViews>
    <workbookView xWindow="14700" yWindow="660" windowWidth="14700" windowHeight="18460" xr2:uid="{6905FA0C-4F3B-2742-8220-B5B441B9EA8D}"/>
  </bookViews>
  <sheets>
    <sheet name="pessimistic-lock-1000-ngrinder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15" i="1"/>
  <c r="B36" i="1" s="1"/>
  <c r="A15" i="1"/>
  <c r="B21" i="1" s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7" i="1" l="1"/>
  <c r="B42" i="1" s="1"/>
  <c r="B41" i="1"/>
  <c r="B38" i="1"/>
  <c r="B43" i="1" s="1"/>
  <c r="B46" i="1"/>
  <c r="B17" i="1"/>
  <c r="B22" i="1" s="1"/>
  <c r="B24" i="1" s="1"/>
  <c r="B18" i="1"/>
  <c r="B47" i="1" l="1"/>
  <c r="B48" i="1" s="1"/>
  <c r="B51" i="1" s="1"/>
  <c r="B53" i="1" s="1"/>
  <c r="B56" i="1" s="1"/>
  <c r="B59" i="1" s="1"/>
  <c r="B60" i="1" s="1"/>
  <c r="B25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<sst xmlns="http://schemas.openxmlformats.org/spreadsheetml/2006/main" count="13" uniqueCount="13">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</sst>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8AA1388-476D-1449-B980-CCA86AEB312F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8AA1388-476D-1449-B980-CCA86AEB312F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EA3352B0-BFC0-C74E-8878-C2ABA70A4023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EA3352B0-BFC0-C74E-8878-C2ABA70A4023}"/>
                </a:ext>
              </a:extLst>
            </xdr:cNvPr>
            <xdr:cNvSpPr txBox="1"/>
          </xdr:nvSpPr>
          <xdr:spPr>
            <a:xfrm>
              <a:off x="2311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BAB4C25-682A-6647-B4A7-9CF29D2D4CC1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BAB4C25-682A-6647-B4A7-9CF29D2D4CC1}"/>
                </a:ext>
              </a:extLst>
            </xdr:cNvPr>
            <xdr:cNvSpPr txBox="1"/>
          </xdr:nvSpPr>
          <xdr:spPr>
            <a:xfrm>
              <a:off x="33528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3E6ED513-327E-8848-A979-3B2F5B08020F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3E6ED513-327E-8848-A979-3B2F5B08020F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A6EFADC-12DF-944A-AC6B-5FC9219D1659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A6EFADC-12DF-944A-AC6B-5FC9219D1659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46F5C129-FF91-F64A-A3D0-30991AEB1CE2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46F5C129-FF91-F64A-A3D0-30991AEB1CE2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C978F90F-2E0A-F247-ABF2-EC0CEF95A38D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C978F90F-2E0A-F247-ABF2-EC0CEF95A38D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B3B9FB5-79F5-A64B-8D1C-AF51A16EF1EE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2B3B9FB5-79F5-A64B-8D1C-AF51A16EF1EE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73374365-9D31-EB4C-ACBD-0B7D0D4A24ED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73374365-9D31-EB4C-ACBD-0B7D0D4A24ED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E5CF637-6952-9045-B308-06C79DACD4DF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E5CF637-6952-9045-B308-06C79DACD4DF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15DE77F-3DB4-3D49-9168-A36553FD79D8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15DE77F-3DB4-3D49-9168-A36553FD79D8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82DDF7CE-FE71-8245-9616-6E4A3C433A17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82DDF7CE-FE71-8245-9616-6E4A3C433A17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C36E5835-EDE8-D64D-BC89-E15F108CA9A8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C36E5835-EDE8-D64D-BC89-E15F108CA9A8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A5F481F0-CE3F-E246-94EE-445A1A267AEB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A5F481F0-CE3F-E246-94EE-445A1A267AEB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A01E5B11-19DC-F044-A6FA-DBCEB3F2010D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A01E5B11-19DC-F044-A6FA-DBCEB3F2010D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3DBA044A-3AC4-E040-A799-F310D633FCA8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3DBA044A-3AC4-E040-A799-F310D633FCA8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6BE55731-C701-B140-ACA3-418B21D30BF8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6BE55731-C701-B140-ACA3-418B21D30BF8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91A7-8A02-0C4B-AB6A-F3676FEBF57F}">
  <dimension ref="A1:M60"/>
  <sheetViews>
    <sheetView tabSelected="1" workbookViewId="0">
      <selection activeCell="A7" sqref="A7:D66"/>
    </sheetView>
  </sheetViews>
  <sheetFormatPr baseColWidth="10" defaultRowHeight="18"/>
  <cols>
    <col min="1" max="1" width="25.5703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46110.682951388888</v>
      </c>
      <c r="B2">
        <v>906</v>
      </c>
      <c r="C2">
        <v>184</v>
      </c>
      <c r="D2">
        <v>0</v>
      </c>
      <c r="E2">
        <v>688.07100000000003</v>
      </c>
      <c r="F2">
        <v>605.572</v>
      </c>
      <c r="G2">
        <v>92</v>
      </c>
      <c r="H2">
        <v>81</v>
      </c>
      <c r="I2">
        <v>7452</v>
      </c>
      <c r="J2">
        <v>0</v>
      </c>
      <c r="K2">
        <v>0</v>
      </c>
      <c r="L2">
        <v>184.41800000000001</v>
      </c>
      <c r="M2">
        <v>218.10900000000001</v>
      </c>
    </row>
    <row r="3" spans="1:13">
      <c r="A3" s="1">
        <v>46110.682974537034</v>
      </c>
      <c r="B3">
        <v>860</v>
      </c>
      <c r="C3">
        <v>309</v>
      </c>
      <c r="D3">
        <v>0</v>
      </c>
      <c r="E3">
        <v>1298.181</v>
      </c>
      <c r="F3">
        <v>430.81799999999998</v>
      </c>
      <c r="G3">
        <v>154.5</v>
      </c>
      <c r="H3">
        <v>160.65</v>
      </c>
      <c r="I3">
        <v>24820.5</v>
      </c>
      <c r="J3">
        <v>293</v>
      </c>
      <c r="K3">
        <v>0</v>
      </c>
      <c r="L3">
        <v>308.30700000000002</v>
      </c>
      <c r="M3">
        <v>500.15199999999999</v>
      </c>
    </row>
    <row r="4" spans="1:13">
      <c r="A4" s="1">
        <v>46110.682997685188</v>
      </c>
      <c r="B4">
        <v>290</v>
      </c>
      <c r="C4">
        <v>402</v>
      </c>
      <c r="D4">
        <v>0</v>
      </c>
      <c r="E4">
        <v>1387.963</v>
      </c>
      <c r="F4">
        <v>514.27099999999996</v>
      </c>
      <c r="G4">
        <v>201</v>
      </c>
      <c r="H4">
        <v>165</v>
      </c>
      <c r="I4">
        <v>33165</v>
      </c>
      <c r="J4">
        <v>402</v>
      </c>
      <c r="K4">
        <v>0</v>
      </c>
      <c r="L4">
        <v>303.73099999999999</v>
      </c>
      <c r="M4">
        <v>404.279</v>
      </c>
    </row>
    <row r="5" spans="1:13">
      <c r="A5" s="1">
        <v>46110.683020833334</v>
      </c>
      <c r="B5">
        <v>7</v>
      </c>
      <c r="C5">
        <v>102</v>
      </c>
      <c r="D5">
        <v>0</v>
      </c>
      <c r="E5">
        <v>384.07799999999997</v>
      </c>
      <c r="F5">
        <v>246.27600000000001</v>
      </c>
      <c r="G5">
        <v>51</v>
      </c>
      <c r="H5">
        <v>165</v>
      </c>
      <c r="I5">
        <v>8415</v>
      </c>
      <c r="J5">
        <v>102</v>
      </c>
      <c r="K5">
        <v>0</v>
      </c>
      <c r="L5">
        <v>109.657</v>
      </c>
      <c r="M5">
        <v>162.96100000000001</v>
      </c>
    </row>
    <row r="6" spans="1:13">
      <c r="A6" s="1">
        <v>46110.68304398148</v>
      </c>
      <c r="B6">
        <v>1</v>
      </c>
      <c r="C6">
        <v>3</v>
      </c>
      <c r="D6">
        <v>0</v>
      </c>
      <c r="E6">
        <v>9</v>
      </c>
      <c r="F6">
        <v>1.633</v>
      </c>
      <c r="G6">
        <v>1.5</v>
      </c>
      <c r="H6">
        <v>165</v>
      </c>
      <c r="I6">
        <v>247.5</v>
      </c>
      <c r="J6">
        <v>3</v>
      </c>
      <c r="K6">
        <v>0</v>
      </c>
      <c r="L6">
        <v>2.3330000000000002</v>
      </c>
      <c r="M6">
        <v>3.6669999999999998</v>
      </c>
    </row>
    <row r="11" spans="1:13">
      <c r="A11">
        <f>C2</f>
        <v>184</v>
      </c>
      <c r="B11">
        <f t="shared" ref="B11:C15" si="0">E2</f>
        <v>688.07100000000003</v>
      </c>
      <c r="C11">
        <f t="shared" si="0"/>
        <v>605.572</v>
      </c>
    </row>
    <row r="12" spans="1:13">
      <c r="A12">
        <f>C3</f>
        <v>309</v>
      </c>
      <c r="B12">
        <f t="shared" si="0"/>
        <v>1298.181</v>
      </c>
      <c r="C12">
        <f t="shared" si="0"/>
        <v>430.81799999999998</v>
      </c>
    </row>
    <row r="13" spans="1:13">
      <c r="A13">
        <f>C4</f>
        <v>402</v>
      </c>
      <c r="B13">
        <f t="shared" si="0"/>
        <v>1387.963</v>
      </c>
      <c r="C13">
        <f t="shared" si="0"/>
        <v>514.27099999999996</v>
      </c>
    </row>
    <row r="14" spans="1:13">
      <c r="A14">
        <f>C5</f>
        <v>102</v>
      </c>
      <c r="B14">
        <f t="shared" si="0"/>
        <v>384.07799999999997</v>
      </c>
      <c r="C14">
        <f t="shared" si="0"/>
        <v>246.27600000000001</v>
      </c>
    </row>
    <row r="15" spans="1:13">
      <c r="A15">
        <f>C6</f>
        <v>3</v>
      </c>
      <c r="B15">
        <f t="shared" si="0"/>
        <v>9</v>
      </c>
      <c r="C15">
        <f t="shared" si="0"/>
        <v>1.633</v>
      </c>
    </row>
    <row r="17" spans="2:2">
      <c r="B17">
        <f>A11*B11</f>
        <v>126605.064</v>
      </c>
    </row>
    <row r="18" spans="2:2">
      <c r="B18">
        <f>A12*B12</f>
        <v>401137.929</v>
      </c>
    </row>
    <row r="19" spans="2:2">
      <c r="B19">
        <f>A13*B13</f>
        <v>557961.12599999993</v>
      </c>
    </row>
    <row r="20" spans="2:2">
      <c r="B20">
        <f>A14*B14</f>
        <v>39175.955999999998</v>
      </c>
    </row>
    <row r="21" spans="2:2">
      <c r="B21">
        <f>A15*B15</f>
        <v>27</v>
      </c>
    </row>
    <row r="22" spans="2:2">
      <c r="B22">
        <f>SUM(B17:B21)</f>
        <v>1124907.075</v>
      </c>
    </row>
    <row r="23" spans="2:2">
      <c r="B23">
        <f>SUM(A11:A15)</f>
        <v>1000</v>
      </c>
    </row>
    <row r="24" spans="2:2">
      <c r="B24">
        <f>B22/B23</f>
        <v>1124.9070749999998</v>
      </c>
    </row>
    <row r="25" spans="2:2">
      <c r="B25">
        <f>ROUND(B24,2)</f>
        <v>1124.9100000000001</v>
      </c>
    </row>
    <row r="27" spans="2:2">
      <c r="B27">
        <f>POWER(C11,2)</f>
        <v>366717.44718399999</v>
      </c>
    </row>
    <row r="28" spans="2:2">
      <c r="B28">
        <f>POWER(C12,2)</f>
        <v>185604.14912399999</v>
      </c>
    </row>
    <row r="29" spans="2:2">
      <c r="B29">
        <f>POWER(C13,2)</f>
        <v>264474.66144099995</v>
      </c>
    </row>
    <row r="30" spans="2:2">
      <c r="B30">
        <f>POWER(C14,2)</f>
        <v>60651.868176000004</v>
      </c>
    </row>
    <row r="31" spans="2:2">
      <c r="B31">
        <f>POWER(C15,2)</f>
        <v>2.6666889999999999</v>
      </c>
    </row>
    <row r="32" spans="2:2">
      <c r="B32">
        <f>POWER(B11,2)</f>
        <v>473441.70104100002</v>
      </c>
    </row>
    <row r="33" spans="2:2">
      <c r="B33">
        <f>POWER(B12,2)</f>
        <v>1685273.908761</v>
      </c>
    </row>
    <row r="34" spans="2:2">
      <c r="B34">
        <f>POWER(B13,2)</f>
        <v>1926441.2893689999</v>
      </c>
    </row>
    <row r="35" spans="2:2">
      <c r="B35">
        <f>POWER(B14,2)</f>
        <v>147515.91008399997</v>
      </c>
    </row>
    <row r="36" spans="2:2">
      <c r="B36">
        <f>POWER(B15,2)</f>
        <v>81</v>
      </c>
    </row>
    <row r="37" spans="2:2">
      <c r="B37">
        <f>B27+B32</f>
        <v>840159.14822500001</v>
      </c>
    </row>
    <row r="38" spans="2:2">
      <c r="B38">
        <f>B28+B33</f>
        <v>1870878.057885</v>
      </c>
    </row>
    <row r="39" spans="2:2">
      <c r="B39">
        <f>B29+B34</f>
        <v>2190915.9508099998</v>
      </c>
    </row>
    <row r="40" spans="2:2">
      <c r="B40">
        <f>B30+B35</f>
        <v>208167.77825999999</v>
      </c>
    </row>
    <row r="41" spans="2:2">
      <c r="B41">
        <f>B31+B36</f>
        <v>83.666689000000005</v>
      </c>
    </row>
    <row r="42" spans="2:2">
      <c r="B42">
        <f>A11*B37</f>
        <v>154589283.27340001</v>
      </c>
    </row>
    <row r="43" spans="2:2">
      <c r="B43">
        <f>A12*B38</f>
        <v>578101319.88646495</v>
      </c>
    </row>
    <row r="44" spans="2:2">
      <c r="B44">
        <f>A13*B39</f>
        <v>880748212.22561991</v>
      </c>
    </row>
    <row r="45" spans="2:2">
      <c r="B45">
        <f>A14*B40</f>
        <v>21233113.382519998</v>
      </c>
    </row>
    <row r="46" spans="2:2">
      <c r="B46">
        <f>A15*B41</f>
        <v>251.000067</v>
      </c>
    </row>
    <row r="47" spans="2:2">
      <c r="B47">
        <f>SUM(B42:B46)</f>
        <v>1634672179.7680717</v>
      </c>
    </row>
    <row r="48" spans="2:2">
      <c r="B48">
        <f>B47/B23</f>
        <v>1634672.1797680717</v>
      </c>
    </row>
    <row r="51" spans="2:2">
      <c r="B51">
        <f>B48-POWER(B24,2)</f>
        <v>369256.25238301652</v>
      </c>
    </row>
    <row r="53" spans="2:2">
      <c r="B53">
        <f>SQRT(LN(1+B51/POWER(B24,2)))</f>
        <v>0.50600535381113754</v>
      </c>
    </row>
    <row r="56" spans="2:2">
      <c r="B56">
        <f>LN(B24)-POWER(B53,2)/2</f>
        <v>6.8974350021841859</v>
      </c>
    </row>
    <row r="59" spans="2:2">
      <c r="B59">
        <f>EXP(B56+1.64485*B53)</f>
        <v>2275.0058627175549</v>
      </c>
    </row>
    <row r="60" spans="2:2">
      <c r="B60">
        <f>ROUND(B59,2)</f>
        <v>2275.0100000000002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pessimistic-lock-1000-ngrinder-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2026-03-29T19:32:20Z</dcterms:created>
  <dcterms:modified xsi:type="dcterms:W3CDTF">2026-03-29T21:44:53Z</dcterms:modified>
</cp:coreProperties>
</file>