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gja/Projects/concurrency-control-benchmarks/docs/result/row-data/2nd-test/pessimistic/"/>
    </mc:Choice>
  </mc:AlternateContent>
  <xr:revisionPtr revIDLastSave="0" documentId="13_ncr:1_{B3E0411D-7F70-B946-B415-C93B8FCF0457}" xr6:coauthVersionLast="47" xr6:coauthVersionMax="47" xr10:uidLastSave="{00000000-0000-0000-0000-000000000000}"/>
  <bookViews>
    <workbookView xWindow="0" yWindow="660" windowWidth="14700" windowHeight="18460" xr2:uid="{E6939166-50FA-584A-8F99-D0D195A321FF}"/>
  </bookViews>
  <sheets>
    <sheet name="pessimistic-lock-500-ngrinder-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5" i="1" l="1"/>
  <c r="E34" i="1"/>
  <c r="E32" i="1"/>
  <c r="E31" i="1"/>
  <c r="E29" i="1"/>
  <c r="E28" i="1"/>
  <c r="E27" i="1"/>
  <c r="E26" i="1"/>
  <c r="E25" i="1"/>
  <c r="E24" i="1"/>
  <c r="E22" i="1"/>
  <c r="E21" i="1"/>
  <c r="E20" i="1"/>
  <c r="E19" i="1"/>
  <c r="E18" i="1"/>
  <c r="E17" i="1"/>
  <c r="B60" i="1"/>
  <c r="B59" i="1"/>
  <c r="B56" i="1"/>
  <c r="B53" i="1"/>
  <c r="B51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5" i="1"/>
  <c r="B24" i="1"/>
  <c r="B23" i="1"/>
  <c r="B22" i="1"/>
  <c r="B21" i="1"/>
  <c r="B20" i="1"/>
  <c r="B19" i="1"/>
  <c r="B18" i="1"/>
  <c r="B17" i="1"/>
  <c r="C15" i="1"/>
  <c r="C14" i="1"/>
  <c r="C13" i="1"/>
  <c r="C12" i="1"/>
  <c r="C11" i="1"/>
  <c r="B15" i="1"/>
  <c r="B14" i="1"/>
  <c r="B13" i="1"/>
  <c r="B12" i="1"/>
  <c r="B11" i="1"/>
  <c r="A15" i="1"/>
  <c r="A14" i="1"/>
  <c r="A13" i="1"/>
  <c r="A12" i="1"/>
  <c r="A11" i="1"/>
</calcChain>
</file>

<file path=xl/sharedStrings.xml><?xml version="1.0" encoding="utf-8"?>
<sst xmlns="http://schemas.openxmlformats.org/spreadsheetml/2006/main" count="13" uniqueCount="13">
  <si>
    <t>DateTime</t>
  </si>
  <si>
    <t>vuser</t>
  </si>
  <si>
    <t>Tests</t>
  </si>
  <si>
    <t>Errors</t>
  </si>
  <si>
    <t>Mean_Test_Time_(ms)</t>
  </si>
  <si>
    <t>Test_Time_Standard_Deviation_(ms)</t>
  </si>
  <si>
    <t>TPS</t>
  </si>
  <si>
    <t>Mean_response_length</t>
  </si>
  <si>
    <t>Response_bytes_per_second</t>
  </si>
  <si>
    <t>Response_errors</t>
  </si>
  <si>
    <t>Mean_time_to_resolve_host</t>
  </si>
  <si>
    <t>Mean_time_to_establish_connection</t>
  </si>
  <si>
    <t>Mean_time_to_first_byte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</si>
</sst>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:s"/>
  </numFmts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2684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A9C389D-2694-1D43-B724-B8858467C9A3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A9C389D-2694-1D43-B724-B8858467C9A3}"/>
                </a:ext>
              </a:extLst>
            </xdr:cNvPr>
            <xdr:cNvSpPr txBox="1"/>
          </xdr:nvSpPr>
          <xdr:spPr>
            <a:xfrm>
              <a:off x="0" y="2057400"/>
              <a:ext cx="2684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1</xdr:col>
      <xdr:colOff>0</xdr:colOff>
      <xdr:row>9</xdr:row>
      <xdr:rowOff>0</xdr:rowOff>
    </xdr:from>
    <xdr:ext cx="279628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79A2700-57AE-4642-976E-2549573012BC}"/>
                </a:ext>
              </a:extLst>
            </xdr:cNvPr>
            <xdr:cNvSpPr txBox="1"/>
          </xdr:nvSpPr>
          <xdr:spPr>
            <a:xfrm>
              <a:off x="1549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79A2700-57AE-4642-976E-2549573012BC}"/>
                </a:ext>
              </a:extLst>
            </xdr:cNvPr>
            <xdr:cNvSpPr txBox="1"/>
          </xdr:nvSpPr>
          <xdr:spPr>
            <a:xfrm>
              <a:off x="1549400" y="2057400"/>
              <a:ext cx="279628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9</xdr:row>
      <xdr:rowOff>0</xdr:rowOff>
    </xdr:from>
    <xdr:ext cx="185692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F703663-7698-A64C-8CC7-5B0116573785}"/>
                </a:ext>
              </a:extLst>
            </xdr:cNvPr>
            <xdr:cNvSpPr txBox="1"/>
          </xdr:nvSpPr>
          <xdr:spPr>
            <a:xfrm>
              <a:off x="20574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F703663-7698-A64C-8CC7-5B0116573785}"/>
                </a:ext>
              </a:extLst>
            </xdr:cNvPr>
            <xdr:cNvSpPr txBox="1"/>
          </xdr:nvSpPr>
          <xdr:spPr>
            <a:xfrm>
              <a:off x="2057400" y="2057400"/>
              <a:ext cx="185692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16</xdr:row>
      <xdr:rowOff>0</xdr:rowOff>
    </xdr:from>
    <xdr:ext cx="453907" cy="34599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2180498-23B8-C846-8D46-39EF672B3836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32180498-23B8-C846-8D46-39EF672B3836}"/>
                </a:ext>
              </a:extLst>
            </xdr:cNvPr>
            <xdr:cNvSpPr txBox="1"/>
          </xdr:nvSpPr>
          <xdr:spPr>
            <a:xfrm>
              <a:off x="0" y="3657600"/>
              <a:ext cx="453907" cy="3459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𝑛_𝑖⋅𝜇_𝑖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21</xdr:row>
      <xdr:rowOff>0</xdr:rowOff>
    </xdr:from>
    <xdr:ext cx="1049454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106E6CD-91CA-8B45-B2A7-6705BE62EA04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𝜇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B106E6CD-91CA-8B45-B2A7-6705BE62EA04}"/>
                </a:ext>
              </a:extLst>
            </xdr:cNvPr>
            <xdr:cNvSpPr txBox="1"/>
          </xdr:nvSpPr>
          <xdr:spPr>
            <a:xfrm>
              <a:off x="0" y="4800600"/>
              <a:ext cx="1049454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(𝑛_𝑖⋅𝜇_𝑖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22</xdr:row>
      <xdr:rowOff>0</xdr:rowOff>
    </xdr:from>
    <xdr:ext cx="806503" cy="35900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960D0D-81D2-2047-ACA7-C54F15154439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AB960D0D-81D2-2047-ACA7-C54F15154439}"/>
                </a:ext>
              </a:extLst>
            </xdr:cNvPr>
            <xdr:cNvSpPr txBox="1"/>
          </xdr:nvSpPr>
          <xdr:spPr>
            <a:xfrm>
              <a:off x="0" y="5029200"/>
              <a:ext cx="806503" cy="35900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 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23</xdr:row>
      <xdr:rowOff>0</xdr:rowOff>
    </xdr:from>
    <xdr:ext cx="1303947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CA3A93C-9815-CC44-890E-6338DCE17427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6CA3A93C-9815-CC44-890E-6338DCE17427}"/>
                </a:ext>
              </a:extLst>
            </xdr:cNvPr>
            <xdr:cNvSpPr txBox="1"/>
          </xdr:nvSpPr>
          <xdr:spPr>
            <a:xfrm>
              <a:off x="0" y="5257800"/>
              <a:ext cx="1303947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𝜇_𝑡𝑜𝑡𝑎𝑙=(Σ_(𝑖=1)^𝑘 (𝑛_𝑖⋅𝜇_𝑖 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26</xdr:row>
      <xdr:rowOff>0</xdr:rowOff>
    </xdr:from>
    <xdr:ext cx="241300" cy="5270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3B099D7-67F3-6E42-B319-804023575698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13B099D7-67F3-6E42-B319-804023575698}"/>
                </a:ext>
              </a:extLst>
            </xdr:cNvPr>
            <xdr:cNvSpPr txBox="1"/>
          </xdr:nvSpPr>
          <xdr:spPr>
            <a:xfrm>
              <a:off x="0" y="5943600"/>
              <a:ext cx="241300" cy="52700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31</xdr:row>
      <xdr:rowOff>0</xdr:rowOff>
    </xdr:from>
    <xdr:ext cx="253787" cy="52732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B071F63-8C0F-444D-B786-25C68C27D736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7B071F63-8C0F-444D-B786-25C68C27D736}"/>
                </a:ext>
              </a:extLst>
            </xdr:cNvPr>
            <xdr:cNvSpPr txBox="1"/>
          </xdr:nvSpPr>
          <xdr:spPr>
            <a:xfrm>
              <a:off x="0" y="7086600"/>
              <a:ext cx="253787" cy="52732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36</xdr:row>
      <xdr:rowOff>0</xdr:rowOff>
    </xdr:from>
    <xdr:ext cx="1056379" cy="28121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B9CD37D-9F8D-4F4E-BD6B-B931F0C0D354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CB9CD37D-9F8D-4F4E-BD6B-B931F0C0D354}"/>
                </a:ext>
              </a:extLst>
            </xdr:cNvPr>
            <xdr:cNvSpPr txBox="1"/>
          </xdr:nvSpPr>
          <xdr:spPr>
            <a:xfrm>
              <a:off x="0" y="8229600"/>
              <a:ext cx="1056379" cy="28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𝐸[𝑋_𝑖^2 ]=𝜎_𝑖^2+𝜇_𝑖^2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41</xdr:row>
      <xdr:rowOff>0</xdr:rowOff>
    </xdr:from>
    <xdr:ext cx="726930" cy="26488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3F29CCE-650F-AD41-988E-2D03DE4D51DA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⋅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d>
                      <m:dPr>
                        <m:begChr m:val="["/>
                        <m:endChr m:val="]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𝑋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C3F29CCE-650F-AD41-988E-2D03DE4D51DA}"/>
                </a:ext>
              </a:extLst>
            </xdr:cNvPr>
            <xdr:cNvSpPr txBox="1"/>
          </xdr:nvSpPr>
          <xdr:spPr>
            <a:xfrm>
              <a:off x="0" y="9372600"/>
              <a:ext cx="726930" cy="26488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𝑛_𝑖⋅𝐸[𝑋_𝑖^2 ]</a:t>
              </a:r>
              <a:endParaRPr lang="en-US" altLang="ko-KR" sz="1100" b="0"/>
            </a:p>
            <a:p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46</xdr:row>
      <xdr:rowOff>0</xdr:rowOff>
    </xdr:from>
    <xdr:ext cx="1014380" cy="244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5FBD210-FE71-1547-9CBE-8AF3EC46DC53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⋅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e>
                        </m:d>
                      </m:e>
                    </m: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D5FBD210-FE71-1547-9CBE-8AF3EC46DC53}"/>
                </a:ext>
              </a:extLst>
            </xdr:cNvPr>
            <xdr:cNvSpPr txBox="1"/>
          </xdr:nvSpPr>
          <xdr:spPr>
            <a:xfrm>
              <a:off x="0" y="10515600"/>
              <a:ext cx="1014380" cy="244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Σ_(𝑖=1)^𝑘 (𝑛_𝑖⋅𝐸[𝑋_𝑖^2 ])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47</xdr:row>
      <xdr:rowOff>0</xdr:rowOff>
    </xdr:from>
    <xdr:ext cx="1759858" cy="49892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4103B60-BE5F-7246-BE48-4CD0EB3C015F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𝐸</m:t>
                        </m:r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⋅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𝐸</m:t>
                            </m:r>
                            <m:d>
                              <m:dPr>
                                <m:begChr m:val="["/>
                                <m:endChr m:val="]"/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dPr>
                              <m:e>
                                <m:sSubSup>
                                  <m:sSubSup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Sup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𝑋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𝑖</m:t>
                                    </m:r>
                                  </m:sub>
                                  <m:sup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d>
                          </m:e>
                        </m:d>
                      </m:num>
                      <m:den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m:rPr>
                                <m:sty m:val="p"/>
                              </m:rPr>
                              <a:rPr lang="en-US" altLang="ko-KR" sz="1100" b="0" i="0">
                                <a:latin typeface="Cambria Math" panose="02040503050406030204" pitchFamily="18" charset="0"/>
                              </a:rPr>
                              <m:t>Σ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=1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𝑘</m:t>
                            </m:r>
                          </m:sup>
                        </m:sSubSup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𝑛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</m:e>
                        </m:d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en-US" altLang="ko-KR" sz="1100"/>
            </a:p>
          </xdr:txBody>
        </xdr:sp>
      </mc:Choice>
      <mc:Fallback xmlns="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94103B60-BE5F-7246-BE48-4CD0EB3C015F}"/>
                </a:ext>
              </a:extLst>
            </xdr:cNvPr>
            <xdr:cNvSpPr txBox="1"/>
          </xdr:nvSpPr>
          <xdr:spPr>
            <a:xfrm>
              <a:off x="0" y="10744200"/>
              <a:ext cx="1759858" cy="49892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〖𝐸[𝑋^2 ]〗_𝑡𝑜𝑡𝑎𝑙=(Σ_(𝑖=1)^𝑘 (𝑛_𝑖⋅𝐸[𝑋_𝑖^2 ]))/(Σ_(𝑖=1)^𝑘 (𝑛_𝑖 ) )</a:t>
              </a:r>
              <a:endParaRPr lang="en-US" altLang="ko-KR" sz="1100" b="0"/>
            </a:p>
            <a:p>
              <a:endParaRPr lang="en-US" altLang="ko-KR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50</xdr:row>
      <xdr:rowOff>0</xdr:rowOff>
    </xdr:from>
    <xdr:ext cx="2239972" cy="2485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6DC2F75-B148-2A49-9B89-EA096E634E93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𝐸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d>
                          <m:dPr>
                            <m:begChr m:val="["/>
                            <m:endChr m:val="]"/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𝑋</m:t>
                                </m:r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e>
                        </m:d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−</m:t>
                    </m:r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66DC2F75-B148-2A49-9B89-EA096E634E93}"/>
                </a:ext>
              </a:extLst>
            </xdr:cNvPr>
            <xdr:cNvSpPr txBox="1"/>
          </xdr:nvSpPr>
          <xdr:spPr>
            <a:xfrm>
              <a:off x="0" y="11430000"/>
              <a:ext cx="2239972" cy="2485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𝜎_𝑡𝑜𝑡𝑎𝑙^2=𝐸[𝑋^2 ]_𝑡𝑜𝑡𝑎𝑙−(𝜇_𝑡𝑜𝑡𝑎𝑙 )^2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52</xdr:row>
      <xdr:rowOff>0</xdr:rowOff>
    </xdr:from>
    <xdr:ext cx="1559722" cy="5533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5D0BF35-CC58-D84F-9557-25E99404CCCC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ln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(1+</m:t>
                        </m:r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Sup>
                              <m:sSub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Sup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𝜎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bSup>
                          </m:num>
                          <m:den>
                            <m:sSup>
                              <m:sSup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𝜇</m:t>
                                    </m:r>
                                  </m:e>
                                  <m:sub>
                                    <m:r>
                                      <a:rPr lang="en-US" altLang="ko-KR" sz="1100" b="0" i="1">
                                        <a:latin typeface="Cambria Math" panose="02040503050406030204" pitchFamily="18" charset="0"/>
                                      </a:rPr>
                                      <m:t>𝑡𝑜𝑡𝑎𝑙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</m:den>
                        </m:f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)</m:t>
                        </m:r>
                      </m:e>
                    </m:rad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95D0BF35-CC58-D84F-9557-25E99404CCCC}"/>
                </a:ext>
              </a:extLst>
            </xdr:cNvPr>
            <xdr:cNvSpPr txBox="1"/>
          </xdr:nvSpPr>
          <xdr:spPr>
            <a:xfrm>
              <a:off x="0" y="11887200"/>
              <a:ext cx="1559722" cy="5533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𝜎_𝑙𝑜𝑔=√(ln(1+(𝜎_𝑡𝑜𝑡𝑎𝑙^2)/〖𝜇_𝑡𝑜𝑡𝑎𝑙〗^2 ))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55</xdr:row>
      <xdr:rowOff>0</xdr:rowOff>
    </xdr:from>
    <xdr:ext cx="1559722" cy="45357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20B51C1-38C7-6949-A180-1BF960F4832D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)−</m:t>
                    </m:r>
                    <m:f>
                      <m:f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Sup>
                          <m:sSubSup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Sup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𝜎</m:t>
                            </m:r>
                          </m:e>
                          <m:sub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log</m:t>
                            </m:r>
                          </m:sub>
                          <m:sup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sup>
                        </m:sSubSup>
                      </m:num>
                      <m:den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 xmlns="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E20B51C1-38C7-6949-A180-1BF960F4832D}"/>
                </a:ext>
              </a:extLst>
            </xdr:cNvPr>
            <xdr:cNvSpPr txBox="1"/>
          </xdr:nvSpPr>
          <xdr:spPr>
            <a:xfrm>
              <a:off x="0" y="12573000"/>
              <a:ext cx="1559722" cy="45357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𝜇_𝑙𝑜𝑔=ln(𝜇_𝑡𝑜𝑡𝑎𝑙)−(𝜎_log^2)/2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0</xdr:col>
      <xdr:colOff>0</xdr:colOff>
      <xdr:row>58</xdr:row>
      <xdr:rowOff>0</xdr:rowOff>
    </xdr:from>
    <xdr:ext cx="2071786" cy="182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CA95757-0AFF-254D-8EB0-A821D5A2D6BF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ko-KR" sz="1100" b="0" i="1">
                        <a:latin typeface="Cambria Math" panose="02040503050406030204" pitchFamily="18" charset="0"/>
                      </a:rPr>
                      <m:t>p</m:t>
                    </m:r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95=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exp</m:t>
                    </m:r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(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𝜇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+1.64485 ⋅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𝑙𝑜𝑔</m:t>
                        </m:r>
                      </m:sub>
                    </m:sSub>
                    <m:r>
                      <m:rPr>
                        <m:nor/>
                      </m:rPr>
                      <a:rPr lang="en-US" altLang="ko-KR" sz="1100" b="0" i="0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ko-KR" altLang="en-US" sz="1100"/>
            </a:p>
          </xdr:txBody>
        </xdr:sp>
      </mc:Choice>
      <mc:Fallback xmlns="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5CA95757-0AFF-254D-8EB0-A821D5A2D6BF}"/>
                </a:ext>
              </a:extLst>
            </xdr:cNvPr>
            <xdr:cNvSpPr txBox="1"/>
          </xdr:nvSpPr>
          <xdr:spPr>
            <a:xfrm>
              <a:off x="0" y="13258800"/>
              <a:ext cx="2071786" cy="182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altLang="ko-KR" sz="1100" b="0" i="0">
                  <a:latin typeface="Cambria Math" panose="02040503050406030204" pitchFamily="18" charset="0"/>
                </a:rPr>
                <a:t>p95="exp(" 𝜇_𝑙𝑜𝑔+1.64485 ⋅𝜎_𝑙𝑜𝑔 ")</a:t>
              </a:r>
              <a:r>
                <a:rPr lang="ko-KR" altLang="en-US" sz="1100" b="0" i="0">
                  <a:latin typeface="Cambria Math" panose="02040503050406030204" pitchFamily="18" charset="0"/>
                </a:rPr>
                <a:t>"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16</xdr:row>
      <xdr:rowOff>0</xdr:rowOff>
    </xdr:from>
    <xdr:ext cx="738151" cy="3550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EE302A3-D510-8A42-A25F-8ACE31576C84}"/>
                </a:ext>
              </a:extLst>
            </xdr:cNvPr>
            <xdr:cNvSpPr txBox="1"/>
          </xdr:nvSpPr>
          <xdr:spPr>
            <a:xfrm>
              <a:off x="4838700" y="3657600"/>
              <a:ext cx="738151" cy="3550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  <a:p>
              <a:endParaRPr lang="ko-KR" altLang="en-US" sz="1100"/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0EE302A3-D510-8A42-A25F-8ACE31576C84}"/>
                </a:ext>
              </a:extLst>
            </xdr:cNvPr>
            <xdr:cNvSpPr txBox="1"/>
          </xdr:nvSpPr>
          <xdr:spPr>
            <a:xfrm>
              <a:off x="4838700" y="3657600"/>
              <a:ext cx="738151" cy="3550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(𝑛_𝑖−1) </a:t>
              </a:r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altLang="ko-KR" sz="1100" b="0" i="0">
                  <a:latin typeface="Cambria Math" panose="02040503050406030204" pitchFamily="18" charset="0"/>
                </a:rPr>
                <a:t>𝑖^2</a:t>
              </a:r>
              <a:endParaRPr lang="en-US" altLang="ko-KR" sz="1100" b="0"/>
            </a:p>
            <a:p>
              <a:endParaRPr lang="ko-KR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21</xdr:row>
      <xdr:rowOff>0</xdr:rowOff>
    </xdr:from>
    <xdr:ext cx="1599284" cy="18287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15C037A-4241-224A-B7A6-17CF2DD2373F}"/>
                </a:ext>
              </a:extLst>
            </xdr:cNvPr>
            <xdr:cNvSpPr txBox="1"/>
          </xdr:nvSpPr>
          <xdr:spPr>
            <a:xfrm>
              <a:off x="4838700" y="4800600"/>
              <a:ext cx="1599284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𝑆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𝑤𝑖𝑡h𝑖𝑛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  <m:d>
                      <m:d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𝑛</m:t>
                            </m:r>
                          </m:e>
                          <m: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−1</m:t>
                        </m:r>
                      </m:e>
                    </m:d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bSup>
                  </m:oMath>
                </m:oMathPara>
              </a14:m>
              <a:endParaRPr lang="en-US" altLang="ko-KR" sz="1100" b="0"/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15C037A-4241-224A-B7A6-17CF2DD2373F}"/>
                </a:ext>
              </a:extLst>
            </xdr:cNvPr>
            <xdr:cNvSpPr txBox="1"/>
          </xdr:nvSpPr>
          <xdr:spPr>
            <a:xfrm>
              <a:off x="4838700" y="4800600"/>
              <a:ext cx="1599284" cy="1828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𝑆𝑆_𝑤𝑖𝑡ℎ𝑖𝑛=Σ_(𝑖=1)^2 (𝑛_𝑖−1) 𝜎_𝑖^2</a:t>
              </a:r>
              <a:endParaRPr lang="en-US" altLang="ko-KR" sz="1100" b="0"/>
            </a:p>
          </xdr:txBody>
        </xdr:sp>
      </mc:Fallback>
    </mc:AlternateContent>
    <xdr:clientData/>
  </xdr:oneCellAnchor>
  <xdr:oneCellAnchor>
    <xdr:from>
      <xdr:col>3</xdr:col>
      <xdr:colOff>0</xdr:colOff>
      <xdr:row>23</xdr:row>
      <xdr:rowOff>0</xdr:rowOff>
    </xdr:from>
    <xdr:ext cx="964816" cy="1772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07A0267-8730-274E-8A41-087C09036AE5}"/>
                </a:ext>
              </a:extLst>
            </xdr:cNvPr>
            <xdr:cNvSpPr txBox="1"/>
          </xdr:nvSpPr>
          <xdr:spPr>
            <a:xfrm>
              <a:off x="4838700" y="5257800"/>
              <a:ext cx="964816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E07A0267-8730-274E-8A41-087C09036AE5}"/>
                </a:ext>
              </a:extLst>
            </xdr:cNvPr>
            <xdr:cNvSpPr txBox="1"/>
          </xdr:nvSpPr>
          <xdr:spPr>
            <a:xfrm>
              <a:off x="4838700" y="5257800"/>
              <a:ext cx="964816" cy="1772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𝑛_𝑖 (𝜇_𝑖−𝜇_𝑡𝑜𝑡𝑎𝑙 )^2</a:t>
              </a:r>
              <a:endParaRPr lang="en-US" altLang="ko-KR" sz="1100" b="0"/>
            </a:p>
          </xdr:txBody>
        </xdr:sp>
      </mc:Fallback>
    </mc:AlternateContent>
    <xdr:clientData/>
  </xdr:oneCellAnchor>
  <xdr:oneCellAnchor>
    <xdr:from>
      <xdr:col>3</xdr:col>
      <xdr:colOff>0</xdr:colOff>
      <xdr:row>28</xdr:row>
      <xdr:rowOff>0</xdr:rowOff>
    </xdr:from>
    <xdr:ext cx="1984902" cy="186782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65056EC-7734-4247-A7FA-78550161DB5F}"/>
                </a:ext>
              </a:extLst>
            </xdr:cNvPr>
            <xdr:cNvSpPr txBox="1"/>
          </xdr:nvSpPr>
          <xdr:spPr>
            <a:xfrm>
              <a:off x="4838700" y="6400800"/>
              <a:ext cx="1984902" cy="1867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𝑆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𝑏𝑒𝑡𝑤𝑒𝑒𝑛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sSubSup>
                      <m:sSub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sty m:val="p"/>
                          </m:rPr>
                          <a:rPr lang="en-US" altLang="ko-KR" sz="1100" b="0" i="0">
                            <a:latin typeface="Cambria Math" panose="02040503050406030204" pitchFamily="18" charset="0"/>
                          </a:rPr>
                          <m:t>Σ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=1</m:t>
                        </m:r>
                      </m:sub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𝑘</m:t>
                        </m:r>
                      </m:sup>
                    </m:sSubSup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𝑛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sSup>
                      <m:sSup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𝑖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𝜇</m:t>
                                </m:r>
                              </m:e>
                              <m:sub>
                                <m: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𝑡𝑜𝑡𝑎𝑙</m:t>
                                </m:r>
                              </m:sub>
                            </m:sSub>
                          </m:e>
                        </m:d>
                      </m:e>
                      <m:sup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ko-KR" sz="1100" b="0"/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65056EC-7734-4247-A7FA-78550161DB5F}"/>
                </a:ext>
              </a:extLst>
            </xdr:cNvPr>
            <xdr:cNvSpPr txBox="1"/>
          </xdr:nvSpPr>
          <xdr:spPr>
            <a:xfrm>
              <a:off x="4838700" y="6400800"/>
              <a:ext cx="1984902" cy="18678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𝑆𝑆_𝑏𝑒𝑡𝑤𝑒𝑒𝑛=Σ_(𝑖=1)^𝑘 𝑛_𝑖 (𝜇_𝑖−𝜇_𝑡𝑜𝑡𝑎𝑙 )^2</a:t>
              </a:r>
              <a:endParaRPr lang="en-US" altLang="ko-KR" sz="1100" b="0"/>
            </a:p>
          </xdr:txBody>
        </xdr:sp>
      </mc:Fallback>
    </mc:AlternateContent>
    <xdr:clientData/>
  </xdr:oneCellAnchor>
  <xdr:oneCellAnchor>
    <xdr:from>
      <xdr:col>3</xdr:col>
      <xdr:colOff>0</xdr:colOff>
      <xdr:row>30</xdr:row>
      <xdr:rowOff>0</xdr:rowOff>
    </xdr:from>
    <xdr:ext cx="1842235" cy="50013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2030784-8822-A543-A1ED-58120B749DC1}"/>
                </a:ext>
              </a:extLst>
            </xdr:cNvPr>
            <xdr:cNvSpPr txBox="1"/>
          </xdr:nvSpPr>
          <xdr:spPr>
            <a:xfrm>
              <a:off x="4838700" y="6858000"/>
              <a:ext cx="1842235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altLang="ko-KR" sz="1100" b="0" i="1">
                            <a:latin typeface="Cambria Math" panose="02040503050406030204" pitchFamily="18" charset="0"/>
                          </a:rPr>
                          <m:t>total</m:t>
                        </m:r>
                      </m:sub>
                    </m:sSub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=</m:t>
                    </m:r>
                    <m:rad>
                      <m:radPr>
                        <m:degHide m:val="on"/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f>
                          <m:fPr>
                            <m:ctrl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SS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within</m:t>
                                </m:r>
                              </m:sub>
                            </m:sSub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SS</m:t>
                                </m:r>
                              </m:e>
                              <m:sub>
                                <m:r>
                                  <m:rPr>
                                    <m:sty m:val="p"/>
                                  </m:rPr>
                                  <a:rPr lang="en-US" altLang="ko-KR" sz="1100" b="0" i="1">
                                    <a:latin typeface="Cambria Math" panose="02040503050406030204" pitchFamily="18" charset="0"/>
                                  </a:rPr>
                                  <m:t>between</m:t>
                                </m:r>
                              </m:sub>
                            </m:sSub>
                          </m:num>
                          <m:den>
                            <m:r>
                              <m:rPr>
                                <m:sty m:val="p"/>
                              </m:rP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N</m:t>
                            </m:r>
                            <m:r>
                              <a:rPr lang="en-US" altLang="ko-KR" sz="1100" b="0" i="1">
                                <a:latin typeface="Cambria Math" panose="02040503050406030204" pitchFamily="18" charset="0"/>
                              </a:rPr>
                              <m:t>-1</m:t>
                            </m:r>
                          </m:den>
                        </m:f>
                      </m:e>
                    </m:rad>
                  </m:oMath>
                </m:oMathPara>
              </a14:m>
              <a:endParaRPr lang="ko-KR" altLang="en-US" sz="1100"/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22030784-8822-A543-A1ED-58120B749DC1}"/>
                </a:ext>
              </a:extLst>
            </xdr:cNvPr>
            <xdr:cNvSpPr txBox="1"/>
          </xdr:nvSpPr>
          <xdr:spPr>
            <a:xfrm>
              <a:off x="4838700" y="6858000"/>
              <a:ext cx="1842235" cy="50013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n-US" altLang="ko-KR" sz="1100" b="0" i="0">
                  <a:latin typeface="Cambria Math" panose="02040503050406030204" pitchFamily="18" charset="0"/>
                </a:rPr>
                <a:t>total=√((SS_within+SS_between)/(N-1))</a:t>
              </a:r>
              <a:endParaRPr lang="ko-KR" altLang="en-US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33</xdr:row>
      <xdr:rowOff>0</xdr:rowOff>
    </xdr:from>
    <xdr:ext cx="438710" cy="173766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1D201B5-C62C-9842-B1BB-CD085CE43C0B}"/>
                </a:ext>
              </a:extLst>
            </xdr:cNvPr>
            <xdr:cNvSpPr txBox="1"/>
          </xdr:nvSpPr>
          <xdr:spPr>
            <a:xfrm>
              <a:off x="4838700" y="7543800"/>
              <a:ext cx="4387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ko-KR" sz="1100" b="0" i="1">
                        <a:latin typeface="Cambria Math" panose="02040503050406030204" pitchFamily="18" charset="0"/>
                      </a:rPr>
                      <m:t>2</m:t>
                    </m:r>
                    <m:sSub>
                      <m:sSubPr>
                        <m:ctrlPr>
                          <a:rPr lang="en-US" altLang="ko-KR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𝜎</m:t>
                        </m:r>
                      </m:e>
                      <m:sub>
                        <m:r>
                          <a:rPr lang="en-US" altLang="ko-KR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</m:oMath>
                </m:oMathPara>
              </a14:m>
              <a:endParaRPr lang="en-US" altLang="ko-KR" sz="1100" b="0"/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C1D201B5-C62C-9842-B1BB-CD085CE43C0B}"/>
                </a:ext>
              </a:extLst>
            </xdr:cNvPr>
            <xdr:cNvSpPr txBox="1"/>
          </xdr:nvSpPr>
          <xdr:spPr>
            <a:xfrm>
              <a:off x="4838700" y="7543800"/>
              <a:ext cx="438710" cy="1737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altLang="ko-KR" sz="1100" b="0" i="0">
                  <a:latin typeface="Cambria Math" panose="02040503050406030204" pitchFamily="18" charset="0"/>
                </a:rPr>
                <a:t>2𝜎_𝑡𝑜𝑡𝑎𝑙</a:t>
              </a:r>
              <a:endParaRPr lang="en-US" altLang="ko-KR" sz="1100" b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14272-59A7-9C4B-ACC6-CED7074E205E}">
  <dimension ref="A1:M60"/>
  <sheetViews>
    <sheetView tabSelected="1" topLeftCell="A11" workbookViewId="0">
      <selection activeCell="D16" sqref="D16:E36"/>
    </sheetView>
  </sheetViews>
  <sheetFormatPr baseColWidth="10" defaultRowHeight="18"/>
  <cols>
    <col min="1" max="1" width="30.28515625" customWidth="1"/>
    <col min="2" max="2" width="14.7109375" customWidth="1"/>
    <col min="3" max="3" width="9.42578125" customWidth="1"/>
    <col min="4" max="4" width="23.5703125" customWidth="1"/>
    <col min="5" max="5" width="18.85546875" bestFit="1" customWidth="1"/>
    <col min="6" max="6" width="30.5703125" bestFit="1" customWidth="1"/>
    <col min="7" max="7" width="5.7109375" bestFit="1" customWidth="1"/>
    <col min="8" max="8" width="19.7109375" bestFit="1" customWidth="1"/>
    <col min="9" max="9" width="23.85546875" bestFit="1" customWidth="1"/>
    <col min="10" max="10" width="14" bestFit="1" customWidth="1"/>
    <col min="11" max="11" width="23.42578125" bestFit="1" customWidth="1"/>
    <col min="12" max="12" width="30.7109375" bestFit="1" customWidth="1"/>
    <col min="13" max="13" width="20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46110.669004629628</v>
      </c>
      <c r="B2">
        <v>405</v>
      </c>
      <c r="C2">
        <v>95</v>
      </c>
      <c r="D2">
        <v>0</v>
      </c>
      <c r="E2">
        <v>100.779</v>
      </c>
      <c r="F2">
        <v>80.356999999999999</v>
      </c>
      <c r="G2">
        <v>47.5</v>
      </c>
      <c r="H2">
        <v>81</v>
      </c>
      <c r="I2">
        <v>3847.5</v>
      </c>
      <c r="J2">
        <v>0</v>
      </c>
      <c r="K2">
        <v>0</v>
      </c>
      <c r="L2">
        <v>24.946999999999999</v>
      </c>
      <c r="M2">
        <v>44.011000000000003</v>
      </c>
    </row>
    <row r="3" spans="1:13">
      <c r="A3" s="1">
        <v>46110.669027777774</v>
      </c>
      <c r="B3">
        <v>212</v>
      </c>
      <c r="C3">
        <v>197</v>
      </c>
      <c r="D3">
        <v>0</v>
      </c>
      <c r="E3">
        <v>803.98500000000001</v>
      </c>
      <c r="F3">
        <v>344.173</v>
      </c>
      <c r="G3">
        <v>98.5</v>
      </c>
      <c r="H3">
        <v>120.22799999999999</v>
      </c>
      <c r="I3">
        <v>11842.5</v>
      </c>
      <c r="J3">
        <v>92</v>
      </c>
      <c r="K3">
        <v>0</v>
      </c>
      <c r="L3">
        <v>176.11699999999999</v>
      </c>
      <c r="M3">
        <v>270.76600000000002</v>
      </c>
    </row>
    <row r="4" spans="1:13">
      <c r="A4" s="1">
        <v>46110.669050925928</v>
      </c>
      <c r="B4">
        <v>19</v>
      </c>
      <c r="C4">
        <v>198</v>
      </c>
      <c r="D4">
        <v>0</v>
      </c>
      <c r="E4">
        <v>284.69200000000001</v>
      </c>
      <c r="F4">
        <v>223.21799999999999</v>
      </c>
      <c r="G4">
        <v>99</v>
      </c>
      <c r="H4">
        <v>165</v>
      </c>
      <c r="I4">
        <v>16335</v>
      </c>
      <c r="J4">
        <v>198</v>
      </c>
      <c r="K4">
        <v>0</v>
      </c>
      <c r="L4">
        <v>124.43899999999999</v>
      </c>
      <c r="M4">
        <v>165.98500000000001</v>
      </c>
    </row>
    <row r="5" spans="1:13">
      <c r="A5" s="1">
        <v>46110.669074074074</v>
      </c>
      <c r="B5">
        <v>3</v>
      </c>
      <c r="C5">
        <v>9</v>
      </c>
      <c r="D5">
        <v>0</v>
      </c>
      <c r="E5">
        <v>10</v>
      </c>
      <c r="F5">
        <v>2.625</v>
      </c>
      <c r="G5">
        <v>4.5</v>
      </c>
      <c r="H5">
        <v>165</v>
      </c>
      <c r="I5">
        <v>742.5</v>
      </c>
      <c r="J5">
        <v>9</v>
      </c>
      <c r="K5">
        <v>0</v>
      </c>
      <c r="L5">
        <v>3.222</v>
      </c>
      <c r="M5">
        <v>4.6669999999999998</v>
      </c>
    </row>
    <row r="6" spans="1:13">
      <c r="A6" s="1">
        <v>46110.66909722222</v>
      </c>
      <c r="B6">
        <v>0</v>
      </c>
      <c r="C6">
        <v>1</v>
      </c>
      <c r="D6">
        <v>0</v>
      </c>
      <c r="E6">
        <v>9</v>
      </c>
      <c r="F6">
        <v>0</v>
      </c>
      <c r="G6">
        <v>0.5</v>
      </c>
      <c r="H6">
        <v>165</v>
      </c>
      <c r="I6">
        <v>82.5</v>
      </c>
      <c r="J6">
        <v>1</v>
      </c>
      <c r="K6">
        <v>0</v>
      </c>
      <c r="L6">
        <v>2</v>
      </c>
      <c r="M6">
        <v>3</v>
      </c>
    </row>
    <row r="11" spans="1:13">
      <c r="A11">
        <f>C2</f>
        <v>95</v>
      </c>
      <c r="B11">
        <f t="shared" ref="B11:C15" si="0">E2</f>
        <v>100.779</v>
      </c>
      <c r="C11">
        <f t="shared" si="0"/>
        <v>80.356999999999999</v>
      </c>
    </row>
    <row r="12" spans="1:13">
      <c r="A12">
        <f>C3</f>
        <v>197</v>
      </c>
      <c r="B12">
        <f t="shared" si="0"/>
        <v>803.98500000000001</v>
      </c>
      <c r="C12">
        <f t="shared" si="0"/>
        <v>344.173</v>
      </c>
    </row>
    <row r="13" spans="1:13">
      <c r="A13">
        <f>C4</f>
        <v>198</v>
      </c>
      <c r="B13">
        <f t="shared" si="0"/>
        <v>284.69200000000001</v>
      </c>
      <c r="C13">
        <f t="shared" si="0"/>
        <v>223.21799999999999</v>
      </c>
    </row>
    <row r="14" spans="1:13">
      <c r="A14">
        <f>C5</f>
        <v>9</v>
      </c>
      <c r="B14">
        <f t="shared" si="0"/>
        <v>10</v>
      </c>
      <c r="C14">
        <f t="shared" si="0"/>
        <v>2.625</v>
      </c>
    </row>
    <row r="15" spans="1:13">
      <c r="A15">
        <f>C6</f>
        <v>1</v>
      </c>
      <c r="B15">
        <f t="shared" si="0"/>
        <v>9</v>
      </c>
      <c r="C15">
        <f t="shared" si="0"/>
        <v>0</v>
      </c>
    </row>
    <row r="17" spans="2:5">
      <c r="B17">
        <f>A11*B11</f>
        <v>9574.0049999999992</v>
      </c>
      <c r="E17">
        <f>(A11-1)*POWER(C11,2)</f>
        <v>606981.26020599995</v>
      </c>
    </row>
    <row r="18" spans="2:5">
      <c r="B18">
        <f>A12*B12</f>
        <v>158385.04500000001</v>
      </c>
      <c r="E18">
        <f>(A12-1)*POWER(C12,2)</f>
        <v>23217190.570084002</v>
      </c>
    </row>
    <row r="19" spans="2:5">
      <c r="B19">
        <f>A13*B13</f>
        <v>56369.016000000003</v>
      </c>
      <c r="E19">
        <f>(A13-1)*POWER(C13,2)</f>
        <v>9815776.2782279998</v>
      </c>
    </row>
    <row r="20" spans="2:5">
      <c r="B20">
        <f>A14*B14</f>
        <v>90</v>
      </c>
      <c r="E20">
        <f>(A14-1)*POWER(C14,2)</f>
        <v>55.125</v>
      </c>
    </row>
    <row r="21" spans="2:5">
      <c r="B21">
        <f>A15*B15</f>
        <v>9</v>
      </c>
      <c r="E21">
        <f>(A15-1)*POWER(C15,2)</f>
        <v>0</v>
      </c>
    </row>
    <row r="22" spans="2:5">
      <c r="B22">
        <f>SUM(B17:B21)</f>
        <v>224427.06600000002</v>
      </c>
      <c r="E22">
        <f>SUM(E17:E21)</f>
        <v>33640003.233518004</v>
      </c>
    </row>
    <row r="23" spans="2:5">
      <c r="B23">
        <f>SUM(A11:A15)</f>
        <v>500</v>
      </c>
    </row>
    <row r="24" spans="2:5">
      <c r="B24">
        <f>B22/B23</f>
        <v>448.85413200000005</v>
      </c>
      <c r="E24">
        <f>A11*POWER(B11-B$24,2)</f>
        <v>11509848.264097659</v>
      </c>
    </row>
    <row r="25" spans="2:5">
      <c r="B25">
        <f>ROUND(B24,2)</f>
        <v>448.85</v>
      </c>
      <c r="E25">
        <f>A12*POWER(B12-B$24,2)</f>
        <v>24845232.88106738</v>
      </c>
    </row>
    <row r="26" spans="2:5">
      <c r="E26">
        <f>A13*POWER(B13-B$24,2)</f>
        <v>5335942.7053915169</v>
      </c>
    </row>
    <row r="27" spans="2:5">
      <c r="B27">
        <f>POWER(C11,2)</f>
        <v>6457.2474489999995</v>
      </c>
      <c r="E27">
        <f>A14*POWER(B14-B$24,2)</f>
        <v>1733336.5425612612</v>
      </c>
    </row>
    <row r="28" spans="2:5">
      <c r="B28">
        <f>POWER(C12,2)</f>
        <v>118455.053929</v>
      </c>
      <c r="E28">
        <f>A15*POWER(B15-B$24,2)</f>
        <v>193471.65743747348</v>
      </c>
    </row>
    <row r="29" spans="2:5">
      <c r="B29">
        <f>POWER(C13,2)</f>
        <v>49826.275523999997</v>
      </c>
      <c r="E29">
        <f>SUM(E24:E28)</f>
        <v>43617832.050555296</v>
      </c>
    </row>
    <row r="30" spans="2:5">
      <c r="B30">
        <f>POWER(C14,2)</f>
        <v>6.890625</v>
      </c>
    </row>
    <row r="31" spans="2:5">
      <c r="B31">
        <f>POWER(C15,2)</f>
        <v>0</v>
      </c>
      <c r="E31">
        <f>SQRT((E22+E29)/(B23-1))</f>
        <v>393.47848887908435</v>
      </c>
    </row>
    <row r="32" spans="2:5">
      <c r="B32">
        <f>POWER(B11,2)</f>
        <v>10156.406841</v>
      </c>
      <c r="E32">
        <f>ROUND(E31,2)</f>
        <v>393.48</v>
      </c>
    </row>
    <row r="33" spans="2:5">
      <c r="B33">
        <f>POWER(B12,2)</f>
        <v>646391.88022499997</v>
      </c>
    </row>
    <row r="34" spans="2:5">
      <c r="B34">
        <f>POWER(B13,2)</f>
        <v>81049.534864000001</v>
      </c>
      <c r="E34">
        <f>2*E31</f>
        <v>786.9569777581687</v>
      </c>
    </row>
    <row r="35" spans="2:5">
      <c r="B35">
        <f>POWER(B14,2)</f>
        <v>100</v>
      </c>
      <c r="E35">
        <f>ROUND(E34,2)</f>
        <v>786.96</v>
      </c>
    </row>
    <row r="36" spans="2:5">
      <c r="B36">
        <f>POWER(B15,2)</f>
        <v>81</v>
      </c>
    </row>
    <row r="37" spans="2:5">
      <c r="B37">
        <f>B27+B32</f>
        <v>16613.654289999999</v>
      </c>
    </row>
    <row r="38" spans="2:5">
      <c r="B38">
        <f>B28+B33</f>
        <v>764846.93415400002</v>
      </c>
    </row>
    <row r="39" spans="2:5">
      <c r="B39">
        <f>B29+B34</f>
        <v>130875.810388</v>
      </c>
    </row>
    <row r="40" spans="2:5">
      <c r="B40">
        <f>B30+B35</f>
        <v>106.890625</v>
      </c>
    </row>
    <row r="41" spans="2:5">
      <c r="B41">
        <f>B31+B36</f>
        <v>81</v>
      </c>
    </row>
    <row r="42" spans="2:5">
      <c r="B42">
        <f>A11*B37</f>
        <v>1578297.1575499999</v>
      </c>
    </row>
    <row r="43" spans="2:5">
      <c r="B43">
        <f>A12*B38</f>
        <v>150674846.02833802</v>
      </c>
    </row>
    <row r="44" spans="2:5">
      <c r="B44">
        <f>A13*B39</f>
        <v>25913410.456824001</v>
      </c>
    </row>
    <row r="45" spans="2:5">
      <c r="B45">
        <f>A14*B40</f>
        <v>962.015625</v>
      </c>
    </row>
    <row r="46" spans="2:5">
      <c r="B46">
        <f>A15*B41</f>
        <v>81</v>
      </c>
    </row>
    <row r="47" spans="2:5">
      <c r="B47">
        <f>SUM(B42:B46)</f>
        <v>178167596.65833703</v>
      </c>
    </row>
    <row r="48" spans="2:5">
      <c r="B48">
        <f>B47/B23</f>
        <v>356335.19331667403</v>
      </c>
    </row>
    <row r="51" spans="2:2">
      <c r="B51">
        <f>B48-POWER(B24,2)</f>
        <v>154865.16150320056</v>
      </c>
    </row>
    <row r="53" spans="2:2">
      <c r="B53">
        <f>SQRT(LN(1+B51/POWER(B24,2)))</f>
        <v>0.75513654215222603</v>
      </c>
    </row>
    <row r="56" spans="2:2">
      <c r="B56">
        <f>LN(B24)-POWER(B53,2)/2</f>
        <v>5.8215823632615367</v>
      </c>
    </row>
    <row r="59" spans="2:2">
      <c r="B59">
        <f>EXP(B56+1.64485*B53)</f>
        <v>1168.7250170877387</v>
      </c>
    </row>
    <row r="60" spans="2:2">
      <c r="B60">
        <f>ROUND(B59,2)</f>
        <v>1168.73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pessimistic-lock-500-ngrinder-r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함상현</dc:creator>
  <cp:lastModifiedBy>함상현</cp:lastModifiedBy>
  <dcterms:created xsi:type="dcterms:W3CDTF">2026-03-29T18:58:07Z</dcterms:created>
  <dcterms:modified xsi:type="dcterms:W3CDTF">2026-03-31T11:03:07Z</dcterms:modified>
</cp:coreProperties>
</file>