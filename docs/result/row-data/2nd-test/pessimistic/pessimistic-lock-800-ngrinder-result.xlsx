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essimistic/"/>
    </mc:Choice>
  </mc:AlternateContent>
  <xr:revisionPtr revIDLastSave="0" documentId="13_ncr:1_{9EB57103-6F97-3640-A860-C56BF3E4E849}" xr6:coauthVersionLast="47" xr6:coauthVersionMax="47" xr10:uidLastSave="{00000000-0000-0000-0000-000000000000}"/>
  <bookViews>
    <workbookView xWindow="14700" yWindow="660" windowWidth="14700" windowHeight="18460" xr2:uid="{40EB9759-2989-CB4D-B0DC-B9CA5FA6DA35}"/>
  </bookViews>
  <sheets>
    <sheet name="pessimistic-lock-8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B59" i="1"/>
  <c r="B56" i="1"/>
  <c r="B53" i="1"/>
  <c r="B51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5" i="1"/>
  <c r="B24" i="1"/>
  <c r="B23" i="1"/>
  <c r="B22" i="1"/>
  <c r="B21" i="1"/>
  <c r="B20" i="1"/>
  <c r="B19" i="1"/>
  <c r="B18" i="1"/>
  <c r="B17" i="1"/>
  <c r="C15" i="1"/>
  <c r="C14" i="1"/>
  <c r="C13" i="1"/>
  <c r="C12" i="1"/>
  <c r="C11" i="1"/>
  <c r="B15" i="1"/>
  <c r="B14" i="1"/>
  <c r="B13" i="1"/>
  <c r="B12" i="1"/>
  <c r="B11" i="1"/>
  <c r="A15" i="1"/>
  <c r="A14" i="1"/>
  <c r="A13" i="1"/>
  <c r="A12" i="1"/>
  <c r="A11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<sst xmlns="http://schemas.openxmlformats.org/spreadsheetml/2006/main" count="13" uniqueCount="13">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</sst>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445ACE-4F6A-CC49-9D6C-55DCC1121A89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445ACE-4F6A-CC49-9D6C-55DCC1121A89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79459B7-D4A1-904B-A3D7-120D3BACF1BF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79459B7-D4A1-904B-A3D7-120D3BACF1BF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03D9D71-152C-C840-BD33-9FF946466C77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03D9D71-152C-C840-BD33-9FF946466C77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10DF65A-61F6-6849-A0CF-D91ED1D9649B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10DF65A-61F6-6849-A0CF-D91ED1D9649B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907AA5E-F174-0446-A5A9-C55AA22D7A0C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907AA5E-F174-0446-A5A9-C55AA22D7A0C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37A18A-9AC3-8942-A438-40FA2895AAC0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37A18A-9AC3-8942-A438-40FA2895AAC0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2378771-EC98-914B-89F5-0EC1F033D83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2378771-EC98-914B-89F5-0EC1F033D83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59F017F-8ED3-204D-ADCB-893A74CB39E4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59F017F-8ED3-204D-ADCB-893A74CB39E4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CD4C943-890E-5B4E-B4F1-931234B49954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CD4C943-890E-5B4E-B4F1-931234B49954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D4F840D-60BD-C344-B0C7-3A023E168F5B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D4F840D-60BD-C344-B0C7-3A023E168F5B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1B0AF2-52E0-7D48-82E3-321345193AB3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1B0AF2-52E0-7D48-82E3-321345193AB3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97AC453-338C-1C47-AA53-DB9ED7868D64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97AC453-338C-1C47-AA53-DB9ED7868D64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22BA858-D91C-C74C-854E-D3341622DCE1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22BA858-D91C-C74C-854E-D3341622DCE1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AB73040-4EB2-264D-8E3B-82B2CADF3D66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AB73040-4EB2-264D-8E3B-82B2CADF3D66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22E289A-A56E-C64C-B290-6969ABA06BF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22E289A-A56E-C64C-B290-6969ABA06BF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124CC01-42BB-E44A-B3EC-6EBC30B2CCED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124CC01-42BB-E44A-B3EC-6EBC30B2CCED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A18697B-6382-9041-8E12-9E943CA0F99C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A18697B-6382-9041-8E12-9E943CA0F99C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37C-5D55-4644-A529-324CF0FBF974}">
  <dimension ref="A1:M60"/>
  <sheetViews>
    <sheetView tabSelected="1" topLeftCell="A25" workbookViewId="0">
      <selection activeCell="B61" sqref="B61"/>
    </sheetView>
  </sheetViews>
  <sheetFormatPr baseColWidth="10" defaultRowHeight="18"/>
  <cols>
    <col min="1" max="1" width="26" customWidth="1"/>
    <col min="2" max="2" width="11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46110.676006944443</v>
      </c>
      <c r="B2">
        <v>701</v>
      </c>
      <c r="C2">
        <v>99</v>
      </c>
      <c r="D2">
        <v>0</v>
      </c>
      <c r="E2">
        <v>551.22199999999998</v>
      </c>
      <c r="F2">
        <v>422.58499999999998</v>
      </c>
      <c r="G2">
        <v>49.5</v>
      </c>
      <c r="H2">
        <v>81</v>
      </c>
      <c r="I2">
        <v>4009.5</v>
      </c>
      <c r="J2">
        <v>0</v>
      </c>
      <c r="K2">
        <v>0</v>
      </c>
      <c r="L2">
        <v>116.626</v>
      </c>
      <c r="M2">
        <v>221.87899999999999</v>
      </c>
    </row>
    <row r="3" spans="1:13">
      <c r="A3" s="1">
        <v>46110.676030092596</v>
      </c>
      <c r="B3">
        <v>587</v>
      </c>
      <c r="C3">
        <v>224</v>
      </c>
      <c r="D3">
        <v>0</v>
      </c>
      <c r="E3">
        <v>978.22799999999995</v>
      </c>
      <c r="F3">
        <v>283.34800000000001</v>
      </c>
      <c r="G3">
        <v>112</v>
      </c>
      <c r="H3">
        <v>127.125</v>
      </c>
      <c r="I3">
        <v>14238</v>
      </c>
      <c r="J3">
        <v>123</v>
      </c>
      <c r="K3">
        <v>0</v>
      </c>
      <c r="L3">
        <v>246.18299999999999</v>
      </c>
      <c r="M3">
        <v>335.29500000000002</v>
      </c>
    </row>
    <row r="4" spans="1:13">
      <c r="A4" s="1">
        <v>46110.676053240742</v>
      </c>
      <c r="B4">
        <v>128</v>
      </c>
      <c r="C4">
        <v>457</v>
      </c>
      <c r="D4">
        <v>0</v>
      </c>
      <c r="E4">
        <v>851.74</v>
      </c>
      <c r="F4">
        <v>416.73599999999999</v>
      </c>
      <c r="G4">
        <v>228.5</v>
      </c>
      <c r="H4">
        <v>165</v>
      </c>
      <c r="I4">
        <v>37702.5</v>
      </c>
      <c r="J4">
        <v>457</v>
      </c>
      <c r="K4">
        <v>0</v>
      </c>
      <c r="L4">
        <v>247.56899999999999</v>
      </c>
      <c r="M4">
        <v>321.96100000000001</v>
      </c>
    </row>
    <row r="5" spans="1:13">
      <c r="A5" s="1">
        <v>46110.676076388889</v>
      </c>
      <c r="B5">
        <v>3</v>
      </c>
      <c r="C5">
        <v>17</v>
      </c>
      <c r="D5">
        <v>0</v>
      </c>
      <c r="E5">
        <v>6.6470000000000002</v>
      </c>
      <c r="F5">
        <v>3.7410000000000001</v>
      </c>
      <c r="G5">
        <v>8.5</v>
      </c>
      <c r="H5">
        <v>165</v>
      </c>
      <c r="I5">
        <v>1402.5</v>
      </c>
      <c r="J5">
        <v>17</v>
      </c>
      <c r="K5">
        <v>0</v>
      </c>
      <c r="L5">
        <v>2</v>
      </c>
      <c r="M5">
        <v>2.8820000000000001</v>
      </c>
    </row>
    <row r="6" spans="1:13">
      <c r="A6" s="1">
        <v>46110.676099537035</v>
      </c>
      <c r="B6">
        <v>0</v>
      </c>
      <c r="C6">
        <v>3</v>
      </c>
      <c r="D6">
        <v>0</v>
      </c>
      <c r="E6">
        <v>11</v>
      </c>
      <c r="F6">
        <v>0.81599999999999995</v>
      </c>
      <c r="G6">
        <v>1.5</v>
      </c>
      <c r="H6">
        <v>165</v>
      </c>
      <c r="I6">
        <v>247.5</v>
      </c>
      <c r="J6">
        <v>3</v>
      </c>
      <c r="K6">
        <v>0</v>
      </c>
      <c r="L6">
        <v>3.3330000000000002</v>
      </c>
      <c r="M6">
        <v>5.3330000000000002</v>
      </c>
    </row>
    <row r="11" spans="1:13">
      <c r="A11">
        <f>C2</f>
        <v>99</v>
      </c>
      <c r="B11">
        <f>E2</f>
        <v>551.22199999999998</v>
      </c>
      <c r="C11">
        <f>F2</f>
        <v>422.58499999999998</v>
      </c>
    </row>
    <row r="12" spans="1:13">
      <c r="A12">
        <f>C3</f>
        <v>224</v>
      </c>
      <c r="B12">
        <f>E3</f>
        <v>978.22799999999995</v>
      </c>
      <c r="C12">
        <f>F3</f>
        <v>283.34800000000001</v>
      </c>
    </row>
    <row r="13" spans="1:13">
      <c r="A13">
        <f>C4</f>
        <v>457</v>
      </c>
      <c r="B13">
        <f>E4</f>
        <v>851.74</v>
      </c>
      <c r="C13">
        <f>F4</f>
        <v>416.73599999999999</v>
      </c>
    </row>
    <row r="14" spans="1:13">
      <c r="A14">
        <f>C5</f>
        <v>17</v>
      </c>
      <c r="B14">
        <f>E5</f>
        <v>6.6470000000000002</v>
      </c>
      <c r="C14">
        <f>F5</f>
        <v>3.7410000000000001</v>
      </c>
    </row>
    <row r="15" spans="1:13">
      <c r="A15">
        <f>C6</f>
        <v>3</v>
      </c>
      <c r="B15">
        <f>E6</f>
        <v>11</v>
      </c>
      <c r="C15">
        <f>F6</f>
        <v>0.81599999999999995</v>
      </c>
    </row>
    <row r="17" spans="2:2">
      <c r="B17">
        <f>A11*B11</f>
        <v>54570.977999999996</v>
      </c>
    </row>
    <row r="18" spans="2:2">
      <c r="B18">
        <f>A12*B12</f>
        <v>219123.07199999999</v>
      </c>
    </row>
    <row r="19" spans="2:2">
      <c r="B19">
        <f>A13*B13</f>
        <v>389245.18</v>
      </c>
    </row>
    <row r="20" spans="2:2">
      <c r="B20">
        <f>A14*B14</f>
        <v>112.99900000000001</v>
      </c>
    </row>
    <row r="21" spans="2:2">
      <c r="B21">
        <f>A15*B15</f>
        <v>33</v>
      </c>
    </row>
    <row r="22" spans="2:2">
      <c r="B22">
        <f>SUM(B17:B21)</f>
        <v>663085.22899999993</v>
      </c>
    </row>
    <row r="23" spans="2:2">
      <c r="B23">
        <f>SUM(A11:A15)</f>
        <v>800</v>
      </c>
    </row>
    <row r="24" spans="2:2">
      <c r="B24">
        <f>B22/B23</f>
        <v>828.85653624999986</v>
      </c>
    </row>
    <row r="25" spans="2:2">
      <c r="B25">
        <f>ROUND(B24,2)</f>
        <v>828.86</v>
      </c>
    </row>
    <row r="27" spans="2:2">
      <c r="B27">
        <f>POWER(C11,2)</f>
        <v>178578.08222499999</v>
      </c>
    </row>
    <row r="28" spans="2:2">
      <c r="B28">
        <f>POWER(C12,2)</f>
        <v>80286.089104000013</v>
      </c>
    </row>
    <row r="29" spans="2:2">
      <c r="B29">
        <f>POWER(C13,2)</f>
        <v>173668.89369599998</v>
      </c>
    </row>
    <row r="30" spans="2:2">
      <c r="B30">
        <f>POWER(C14,2)</f>
        <v>13.995081000000001</v>
      </c>
    </row>
    <row r="31" spans="2:2">
      <c r="B31">
        <f>POWER(C15,2)</f>
        <v>0.66585599999999989</v>
      </c>
    </row>
    <row r="32" spans="2:2">
      <c r="B32">
        <f>POWER(B11,2)</f>
        <v>303845.69328399998</v>
      </c>
    </row>
    <row r="33" spans="2:2">
      <c r="B33">
        <f>POWER(B12,2)</f>
        <v>956930.0199839999</v>
      </c>
    </row>
    <row r="34" spans="2:2">
      <c r="B34">
        <f>POWER(B13,2)</f>
        <v>725461.02760000003</v>
      </c>
    </row>
    <row r="35" spans="2:2">
      <c r="B35">
        <f>POWER(B14,2)</f>
        <v>44.182609000000006</v>
      </c>
    </row>
    <row r="36" spans="2:2">
      <c r="B36">
        <f>POWER(B15,2)</f>
        <v>121</v>
      </c>
    </row>
    <row r="37" spans="2:2">
      <c r="B37">
        <f>B27+B32</f>
        <v>482423.77550899994</v>
      </c>
    </row>
    <row r="38" spans="2:2">
      <c r="B38">
        <f>B28+B33</f>
        <v>1037216.1090879999</v>
      </c>
    </row>
    <row r="39" spans="2:2">
      <c r="B39">
        <f>B29+B34</f>
        <v>899129.92129600001</v>
      </c>
    </row>
    <row r="40" spans="2:2">
      <c r="B40">
        <f>B30+B35</f>
        <v>58.177690000000005</v>
      </c>
    </row>
    <row r="41" spans="2:2">
      <c r="B41">
        <f>B31+B36</f>
        <v>121.66585600000001</v>
      </c>
    </row>
    <row r="42" spans="2:2">
      <c r="B42">
        <f>A11*B37</f>
        <v>47759953.775390998</v>
      </c>
    </row>
    <row r="43" spans="2:2">
      <c r="B43">
        <f>A12*B38</f>
        <v>232336408.43571198</v>
      </c>
    </row>
    <row r="44" spans="2:2">
      <c r="B44">
        <f>A13*B39</f>
        <v>410902374.03227198</v>
      </c>
    </row>
    <row r="45" spans="2:2">
      <c r="B45">
        <f>A14*B40</f>
        <v>989.02073000000007</v>
      </c>
    </row>
    <row r="46" spans="2:2">
      <c r="B46">
        <f>A15*B41</f>
        <v>364.997568</v>
      </c>
    </row>
    <row r="47" spans="2:2">
      <c r="B47">
        <f>SUM(B42:B46)</f>
        <v>691000090.26167297</v>
      </c>
    </row>
    <row r="48" spans="2:2">
      <c r="B48">
        <f>B47/B23</f>
        <v>863750.11282709124</v>
      </c>
    </row>
    <row r="51" spans="2:2">
      <c r="B51">
        <f>B48-POWER(B24,2)</f>
        <v>176746.95514274389</v>
      </c>
    </row>
    <row r="53" spans="2:2">
      <c r="B53">
        <f>SQRT(LN(1+B51/POWER(B24,2)))</f>
        <v>0.47848157452151369</v>
      </c>
    </row>
    <row r="56" spans="2:2">
      <c r="B56">
        <f>LN(B24)-POWER(B53,2)/2</f>
        <v>6.6055747751877707</v>
      </c>
    </row>
    <row r="59" spans="2:2">
      <c r="B59">
        <f>EXP(B56+1.64485*B53)</f>
        <v>1623.9312612989891</v>
      </c>
    </row>
    <row r="60" spans="2:2">
      <c r="B60">
        <f>ROUND(B59,2)</f>
        <v>1623.93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pessimistic-lock-800-ngrinder-r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2026-03-29T19:27:06Z</dcterms:created>
  <dcterms:modified xsi:type="dcterms:W3CDTF">2026-03-29T20:34:23Z</dcterms:modified>
</cp:coreProperties>
</file>