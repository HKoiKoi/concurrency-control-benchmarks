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ngja/Projects/concurrency-control-benchmarks/docs/result/row-data/3rd-test/pub-sub/"/>
    </mc:Choice>
  </mc:AlternateContent>
  <xr:revisionPtr revIDLastSave="0" documentId="13_ncr:9_{DCA06769-B193-A540-B41F-812276151630}" xr6:coauthVersionLast="47" xr6:coauthVersionMax="47" xr10:uidLastSave="{00000000-0000-0000-0000-000000000000}"/>
  <bookViews>
    <workbookView xWindow="14700" yWindow="660" windowWidth="14700" windowHeight="18460" xr2:uid="{2F64F10A-EEC3-9B42-8B94-5C8866F7C48F}"/>
  </bookViews>
  <sheets>
    <sheet name="pub-sub-lock-800-ngrinder-resu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5" i="1" l="1"/>
  <c r="B34" i="1"/>
  <c r="B29" i="1"/>
  <c r="B39" i="1" s="1"/>
  <c r="B44" i="1" s="1"/>
  <c r="B23" i="1"/>
  <c r="C15" i="1"/>
  <c r="B31" i="1" s="1"/>
  <c r="B15" i="1"/>
  <c r="B36" i="1" s="1"/>
  <c r="A15" i="1"/>
  <c r="C14" i="1"/>
  <c r="B30" i="1" s="1"/>
  <c r="B40" i="1" s="1"/>
  <c r="B45" i="1" s="1"/>
  <c r="B14" i="1"/>
  <c r="A14" i="1"/>
  <c r="B20" i="1" s="1"/>
  <c r="C13" i="1"/>
  <c r="B13" i="1"/>
  <c r="A13" i="1"/>
  <c r="B19" i="1" s="1"/>
  <c r="C12" i="1"/>
  <c r="B28" i="1" s="1"/>
  <c r="B12" i="1"/>
  <c r="B33" i="1" s="1"/>
  <c r="A12" i="1"/>
  <c r="C11" i="1"/>
  <c r="B27" i="1" s="1"/>
  <c r="B11" i="1"/>
  <c r="B17" i="1" s="1"/>
  <c r="A11" i="1"/>
  <c r="B41" i="1" l="1"/>
  <c r="B46" i="1"/>
  <c r="B38" i="1"/>
  <c r="B43" i="1" s="1"/>
  <c r="B18" i="1"/>
  <c r="B22" i="1" s="1"/>
  <c r="B24" i="1" s="1"/>
  <c r="B21" i="1"/>
  <c r="B32" i="1"/>
  <c r="B37" i="1" s="1"/>
  <c r="B42" i="1" s="1"/>
  <c r="B47" i="1" s="1"/>
  <c r="B48" i="1" s="1"/>
  <c r="B51" i="1" s="1"/>
  <c r="B53" i="1" s="1"/>
  <c r="B25" i="1" l="1"/>
  <c r="B56" i="1"/>
  <c r="B59" i="1" s="1"/>
  <c r="B60" i="1" s="1"/>
</calcChain>
</file>

<file path=xl/sharedStrings.xml><?xml version="1.0" encoding="utf-8"?>
<sst xmlns="http://schemas.openxmlformats.org/spreadsheetml/2006/main" count="13" uniqueCount="13">
  <si>
    <t>DateTime</t>
  </si>
  <si>
    <t>vuser</t>
  </si>
  <si>
    <t>Tests</t>
  </si>
  <si>
    <t>Errors</t>
  </si>
  <si>
    <t>Mean_Test_Time_(ms)</t>
  </si>
  <si>
    <t>Test_Time_Standard_Deviation_(ms)</t>
  </si>
  <si>
    <t>TPS</t>
  </si>
  <si>
    <t>Mean_response_length</t>
  </si>
  <si>
    <t>Response_bytes_per_second</t>
  </si>
  <si>
    <t>Response_errors</t>
  </si>
  <si>
    <t>Mean_time_to_resolve_host</t>
  </si>
  <si>
    <t>Mean_time_to_establish_connection</t>
  </si>
  <si>
    <t>Mean_time_to_first_byte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</si>
</sst>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yyyy/m/d\ h:mm:s"/>
  </numFmts>
  <fonts count="19"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2"/>
      <color rgb="FF006100"/>
      <name val="맑은 고딕"/>
      <family val="2"/>
      <charset val="129"/>
      <scheme val="minor"/>
    </font>
    <font>
      <sz val="12"/>
      <color rgb="FF9C0006"/>
      <name val="맑은 고딕"/>
      <family val="2"/>
      <charset val="129"/>
      <scheme val="minor"/>
    </font>
    <font>
      <sz val="12"/>
      <color rgb="FF9C5700"/>
      <name val="맑은 고딕"/>
      <family val="2"/>
      <charset val="129"/>
      <scheme val="minor"/>
    </font>
    <font>
      <sz val="12"/>
      <color rgb="FF3F3F76"/>
      <name val="맑은 고딕"/>
      <family val="2"/>
      <charset val="129"/>
      <scheme val="minor"/>
    </font>
    <font>
      <b/>
      <sz val="12"/>
      <color rgb="FF3F3F3F"/>
      <name val="맑은 고딕"/>
      <family val="2"/>
      <charset val="129"/>
      <scheme val="minor"/>
    </font>
    <font>
      <b/>
      <sz val="12"/>
      <color rgb="FFFA7D00"/>
      <name val="맑은 고딕"/>
      <family val="2"/>
      <charset val="129"/>
      <scheme val="minor"/>
    </font>
    <font>
      <sz val="12"/>
      <color rgb="FFFA7D00"/>
      <name val="맑은 고딕"/>
      <family val="2"/>
      <charset val="129"/>
      <scheme val="minor"/>
    </font>
    <font>
      <b/>
      <sz val="12"/>
      <color theme="0"/>
      <name val="맑은 고딕"/>
      <family val="2"/>
      <charset val="129"/>
      <scheme val="minor"/>
    </font>
    <font>
      <sz val="12"/>
      <color rgb="FFFF0000"/>
      <name val="맑은 고딕"/>
      <family val="2"/>
      <charset val="129"/>
      <scheme val="minor"/>
    </font>
    <font>
      <i/>
      <sz val="12"/>
      <color rgb="FF7F7F7F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12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8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9</xdr:row>
      <xdr:rowOff>0</xdr:rowOff>
    </xdr:from>
    <xdr:ext cx="268407" cy="34599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FEBF6D47-6B91-DE4A-A0A1-9095C51BE8B2}"/>
                </a:ext>
              </a:extLst>
            </xdr:cNvPr>
            <xdr:cNvSpPr txBox="1"/>
          </xdr:nvSpPr>
          <xdr:spPr>
            <a:xfrm>
              <a:off x="0" y="2057400"/>
              <a:ext cx="268407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FEBF6D47-6B91-DE4A-A0A1-9095C51BE8B2}"/>
                </a:ext>
              </a:extLst>
            </xdr:cNvPr>
            <xdr:cNvSpPr txBox="1"/>
          </xdr:nvSpPr>
          <xdr:spPr>
            <a:xfrm>
              <a:off x="0" y="2057400"/>
              <a:ext cx="268407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𝑛_𝑖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1</xdr:col>
      <xdr:colOff>0</xdr:colOff>
      <xdr:row>9</xdr:row>
      <xdr:rowOff>0</xdr:rowOff>
    </xdr:from>
    <xdr:ext cx="279628" cy="34599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7B267282-8311-6B49-9EA0-DB7558CB4B66}"/>
                </a:ext>
              </a:extLst>
            </xdr:cNvPr>
            <xdr:cNvSpPr txBox="1"/>
          </xdr:nvSpPr>
          <xdr:spPr>
            <a:xfrm>
              <a:off x="2273300" y="2057400"/>
              <a:ext cx="279628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7B267282-8311-6B49-9EA0-DB7558CB4B66}"/>
                </a:ext>
              </a:extLst>
            </xdr:cNvPr>
            <xdr:cNvSpPr txBox="1"/>
          </xdr:nvSpPr>
          <xdr:spPr>
            <a:xfrm>
              <a:off x="2273300" y="2057400"/>
              <a:ext cx="279628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𝜇_𝑖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2</xdr:col>
      <xdr:colOff>0</xdr:colOff>
      <xdr:row>9</xdr:row>
      <xdr:rowOff>0</xdr:rowOff>
    </xdr:from>
    <xdr:ext cx="185692" cy="34599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854BE460-2F43-DE49-BB29-D64F6BD5B4EC}"/>
                </a:ext>
              </a:extLst>
            </xdr:cNvPr>
            <xdr:cNvSpPr txBox="1"/>
          </xdr:nvSpPr>
          <xdr:spPr>
            <a:xfrm>
              <a:off x="3403600" y="2057400"/>
              <a:ext cx="185692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854BE460-2F43-DE49-BB29-D64F6BD5B4EC}"/>
                </a:ext>
              </a:extLst>
            </xdr:cNvPr>
            <xdr:cNvSpPr txBox="1"/>
          </xdr:nvSpPr>
          <xdr:spPr>
            <a:xfrm>
              <a:off x="3403600" y="2057400"/>
              <a:ext cx="185692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𝜎_𝑖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16</xdr:row>
      <xdr:rowOff>0</xdr:rowOff>
    </xdr:from>
    <xdr:ext cx="453907" cy="34599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64FE02A5-A956-9946-A380-8640917C1252}"/>
                </a:ext>
              </a:extLst>
            </xdr:cNvPr>
            <xdr:cNvSpPr txBox="1"/>
          </xdr:nvSpPr>
          <xdr:spPr>
            <a:xfrm>
              <a:off x="0" y="3657600"/>
              <a:ext cx="453907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⋅</m:t>
                    </m:r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64FE02A5-A956-9946-A380-8640917C1252}"/>
                </a:ext>
              </a:extLst>
            </xdr:cNvPr>
            <xdr:cNvSpPr txBox="1"/>
          </xdr:nvSpPr>
          <xdr:spPr>
            <a:xfrm>
              <a:off x="0" y="3657600"/>
              <a:ext cx="453907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𝑛_𝑖⋅𝜇_𝑖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21</xdr:row>
      <xdr:rowOff>0</xdr:rowOff>
    </xdr:from>
    <xdr:ext cx="1049454" cy="35900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F50AD5FA-9B96-6B4D-86CA-AE2FD7B89181}"/>
                </a:ext>
              </a:extLst>
            </xdr:cNvPr>
            <xdr:cNvSpPr txBox="1"/>
          </xdr:nvSpPr>
          <xdr:spPr>
            <a:xfrm>
              <a:off x="0" y="4800600"/>
              <a:ext cx="1049454" cy="35900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m:rPr>
                            <m:sty m:val="p"/>
                          </m:rPr>
                          <a:rPr lang="en-US" altLang="ko-KR" sz="1100" b="0" i="0">
                            <a:latin typeface="Cambria Math" panose="02040503050406030204" pitchFamily="18" charset="0"/>
                          </a:rPr>
                          <m:t>Σ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𝑘</m:t>
                        </m:r>
                      </m:sup>
                    </m:sSubSup>
                    <m:d>
                      <m:d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⋅</m:t>
                        </m:r>
                        <m:sSub>
                          <m:sSub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𝜇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</m:e>
                    </m:d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F50AD5FA-9B96-6B4D-86CA-AE2FD7B89181}"/>
                </a:ext>
              </a:extLst>
            </xdr:cNvPr>
            <xdr:cNvSpPr txBox="1"/>
          </xdr:nvSpPr>
          <xdr:spPr>
            <a:xfrm>
              <a:off x="0" y="4800600"/>
              <a:ext cx="1049454" cy="35900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Σ_(𝑖=1)^𝑘 (𝑛_𝑖⋅𝜇_𝑖 )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22</xdr:row>
      <xdr:rowOff>0</xdr:rowOff>
    </xdr:from>
    <xdr:ext cx="806503" cy="35900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5B3AB429-A309-F341-86A6-12701EC4A12F}"/>
                </a:ext>
              </a:extLst>
            </xdr:cNvPr>
            <xdr:cNvSpPr txBox="1"/>
          </xdr:nvSpPr>
          <xdr:spPr>
            <a:xfrm>
              <a:off x="0" y="5029200"/>
              <a:ext cx="806503" cy="35900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m:rPr>
                            <m:sty m:val="p"/>
                          </m:rPr>
                          <a:rPr lang="en-US" altLang="ko-KR" sz="1100" b="0" i="0">
                            <a:latin typeface="Cambria Math" panose="02040503050406030204" pitchFamily="18" charset="0"/>
                          </a:rPr>
                          <m:t>Σ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𝑘</m:t>
                        </m:r>
                      </m:sup>
                    </m:sSubSup>
                    <m:d>
                      <m:d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</m:e>
                    </m:d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5B3AB429-A309-F341-86A6-12701EC4A12F}"/>
                </a:ext>
              </a:extLst>
            </xdr:cNvPr>
            <xdr:cNvSpPr txBox="1"/>
          </xdr:nvSpPr>
          <xdr:spPr>
            <a:xfrm>
              <a:off x="0" y="5029200"/>
              <a:ext cx="806503" cy="35900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Σ_(𝑖=1)^𝑘 (𝑛_𝑖 )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23</xdr:row>
      <xdr:rowOff>0</xdr:rowOff>
    </xdr:from>
    <xdr:ext cx="1303947" cy="49892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4F337649-0415-DE41-9C76-E204A5D320A1}"/>
                </a:ext>
              </a:extLst>
            </xdr:cNvPr>
            <xdr:cNvSpPr txBox="1"/>
          </xdr:nvSpPr>
          <xdr:spPr>
            <a:xfrm>
              <a:off x="0" y="5257800"/>
              <a:ext cx="1303947" cy="498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𝑡𝑜𝑡𝑎𝑙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m:rPr>
                                <m:sty m:val="p"/>
                              </m:rPr>
                              <a:rPr lang="en-US" altLang="ko-KR" sz="1100" b="0" i="0">
                                <a:latin typeface="Cambria Math" panose="02040503050406030204" pitchFamily="18" charset="0"/>
                              </a:rPr>
                              <m:t>Σ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𝑘</m:t>
                            </m:r>
                          </m:sup>
                        </m:sSubSup>
                        <m:d>
                          <m:d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𝑛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⋅</m:t>
                            </m:r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𝜇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</m:e>
                        </m:d>
                      </m:num>
                      <m:den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m:rPr>
                                <m:sty m:val="p"/>
                              </m:rPr>
                              <a:rPr lang="en-US" altLang="ko-KR" sz="1100" b="0" i="0">
                                <a:latin typeface="Cambria Math" panose="02040503050406030204" pitchFamily="18" charset="0"/>
                              </a:rPr>
                              <m:t>Σ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𝑘</m:t>
                            </m:r>
                          </m:sup>
                        </m:sSubSup>
                        <m:d>
                          <m:d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𝑛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</m:e>
                        </m:d>
                      </m:den>
                    </m:f>
                  </m:oMath>
                </m:oMathPara>
              </a14:m>
              <a:endParaRPr lang="en-US" altLang="ko-KR" sz="1100" b="0"/>
            </a:p>
            <a:p>
              <a:endParaRPr lang="en-US" altLang="ko-KR" sz="1100"/>
            </a:p>
          </xdr:txBody>
        </xdr:sp>
      </mc:Choice>
      <mc:Fallback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4F337649-0415-DE41-9C76-E204A5D320A1}"/>
                </a:ext>
              </a:extLst>
            </xdr:cNvPr>
            <xdr:cNvSpPr txBox="1"/>
          </xdr:nvSpPr>
          <xdr:spPr>
            <a:xfrm>
              <a:off x="0" y="5257800"/>
              <a:ext cx="1303947" cy="498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𝜇_𝑡𝑜𝑡𝑎𝑙=(Σ_(𝑖=1)^𝑘 (𝑛_𝑖⋅𝜇_𝑖 ))/(Σ_(𝑖=1)^𝑘 (𝑛_𝑖 ) )</a:t>
              </a:r>
              <a:endParaRPr lang="en-US" altLang="ko-KR" sz="1100" b="0"/>
            </a:p>
            <a:p>
              <a:endParaRPr lang="en-US" altLang="ko-KR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26</xdr:row>
      <xdr:rowOff>0</xdr:rowOff>
    </xdr:from>
    <xdr:ext cx="241300" cy="52700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3467EEFD-0947-7849-95C2-7233679A3A59}"/>
                </a:ext>
              </a:extLst>
            </xdr:cNvPr>
            <xdr:cNvSpPr txBox="1"/>
          </xdr:nvSpPr>
          <xdr:spPr>
            <a:xfrm>
              <a:off x="0" y="5943600"/>
              <a:ext cx="241300" cy="5270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</m:oMath>
                </m:oMathPara>
              </a14:m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3467EEFD-0947-7849-95C2-7233679A3A59}"/>
                </a:ext>
              </a:extLst>
            </xdr:cNvPr>
            <xdr:cNvSpPr txBox="1"/>
          </xdr:nvSpPr>
          <xdr:spPr>
            <a:xfrm>
              <a:off x="0" y="5943600"/>
              <a:ext cx="241300" cy="5270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𝜎_𝑖^2</a:t>
              </a:r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31</xdr:row>
      <xdr:rowOff>0</xdr:rowOff>
    </xdr:from>
    <xdr:ext cx="253787" cy="52732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9BFFD336-E10A-624B-A31F-38A8B1AFC257}"/>
                </a:ext>
              </a:extLst>
            </xdr:cNvPr>
            <xdr:cNvSpPr txBox="1"/>
          </xdr:nvSpPr>
          <xdr:spPr>
            <a:xfrm>
              <a:off x="0" y="7086600"/>
              <a:ext cx="253787" cy="52732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</m:oMath>
                </m:oMathPara>
              </a14:m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9BFFD336-E10A-624B-A31F-38A8B1AFC257}"/>
                </a:ext>
              </a:extLst>
            </xdr:cNvPr>
            <xdr:cNvSpPr txBox="1"/>
          </xdr:nvSpPr>
          <xdr:spPr>
            <a:xfrm>
              <a:off x="0" y="7086600"/>
              <a:ext cx="253787" cy="52732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𝜇_𝑖^2</a:t>
              </a:r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36</xdr:row>
      <xdr:rowOff>0</xdr:rowOff>
    </xdr:from>
    <xdr:ext cx="1056379" cy="28121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23A55F73-AF61-224E-85D8-B61121E09F1B}"/>
                </a:ext>
              </a:extLst>
            </xdr:cNvPr>
            <xdr:cNvSpPr txBox="1"/>
          </xdr:nvSpPr>
          <xdr:spPr>
            <a:xfrm>
              <a:off x="0" y="8229600"/>
              <a:ext cx="1056379" cy="28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𝐸</m:t>
                    </m:r>
                    <m:d>
                      <m:dPr>
                        <m:begChr m:val="["/>
                        <m:endChr m:val="]"/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𝑋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bSup>
                      </m:e>
                    </m:d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+</m:t>
                    </m:r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</m:oMath>
                </m:oMathPara>
              </a14:m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  <a:p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23A55F73-AF61-224E-85D8-B61121E09F1B}"/>
                </a:ext>
              </a:extLst>
            </xdr:cNvPr>
            <xdr:cNvSpPr txBox="1"/>
          </xdr:nvSpPr>
          <xdr:spPr>
            <a:xfrm>
              <a:off x="0" y="8229600"/>
              <a:ext cx="1056379" cy="28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𝐸[𝑋_𝑖^2 ]=𝜎_𝑖^2+𝜇_𝑖^2</a:t>
              </a:r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  <a:p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41</xdr:row>
      <xdr:rowOff>0</xdr:rowOff>
    </xdr:from>
    <xdr:ext cx="726930" cy="264885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6F8F205C-36B5-9040-982F-C68FD507F95F}"/>
                </a:ext>
              </a:extLst>
            </xdr:cNvPr>
            <xdr:cNvSpPr txBox="1"/>
          </xdr:nvSpPr>
          <xdr:spPr>
            <a:xfrm>
              <a:off x="0" y="9372600"/>
              <a:ext cx="726930" cy="2648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⋅</m:t>
                    </m:r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𝐸</m:t>
                    </m:r>
                    <m:d>
                      <m:dPr>
                        <m:begChr m:val="["/>
                        <m:endChr m:val="]"/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𝑋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bSup>
                      </m:e>
                    </m:d>
                  </m:oMath>
                </m:oMathPara>
              </a14:m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6F8F205C-36B5-9040-982F-C68FD507F95F}"/>
                </a:ext>
              </a:extLst>
            </xdr:cNvPr>
            <xdr:cNvSpPr txBox="1"/>
          </xdr:nvSpPr>
          <xdr:spPr>
            <a:xfrm>
              <a:off x="0" y="9372600"/>
              <a:ext cx="726930" cy="2648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𝑛_𝑖⋅𝐸[𝑋_𝑖^2 ]</a:t>
              </a:r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46</xdr:row>
      <xdr:rowOff>0</xdr:rowOff>
    </xdr:from>
    <xdr:ext cx="1014380" cy="24492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EE00818B-10A8-9748-969F-7B8EB9B10284}"/>
                </a:ext>
              </a:extLst>
            </xdr:cNvPr>
            <xdr:cNvSpPr txBox="1"/>
          </xdr:nvSpPr>
          <xdr:spPr>
            <a:xfrm>
              <a:off x="0" y="10515600"/>
              <a:ext cx="1014380" cy="244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m:rPr>
                            <m:sty m:val="p"/>
                          </m:rPr>
                          <a:rPr lang="en-US" altLang="ko-KR" sz="1100" b="0" i="0">
                            <a:latin typeface="Cambria Math" panose="02040503050406030204" pitchFamily="18" charset="0"/>
                          </a:rPr>
                          <m:t>Σ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𝑘</m:t>
                        </m:r>
                      </m:sup>
                    </m:sSubSup>
                    <m:d>
                      <m:d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⋅</m:t>
                        </m:r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𝐸</m:t>
                        </m:r>
                        <m:d>
                          <m:dPr>
                            <m:begChr m:val="["/>
                            <m:endChr m:val="]"/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Sup>
                              <m:sSubSup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Sup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𝑋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  <m:sup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bSup>
                          </m:e>
                        </m:d>
                      </m:e>
                    </m:d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EE00818B-10A8-9748-969F-7B8EB9B10284}"/>
                </a:ext>
              </a:extLst>
            </xdr:cNvPr>
            <xdr:cNvSpPr txBox="1"/>
          </xdr:nvSpPr>
          <xdr:spPr>
            <a:xfrm>
              <a:off x="0" y="10515600"/>
              <a:ext cx="1014380" cy="244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Σ_(𝑖=1)^𝑘 (𝑛_𝑖⋅𝐸[𝑋_𝑖^2 ])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47</xdr:row>
      <xdr:rowOff>0</xdr:rowOff>
    </xdr:from>
    <xdr:ext cx="1759858" cy="49892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672137C1-90A8-ED48-9680-CAE2D146CDC9}"/>
                </a:ext>
              </a:extLst>
            </xdr:cNvPr>
            <xdr:cNvSpPr txBox="1"/>
          </xdr:nvSpPr>
          <xdr:spPr>
            <a:xfrm>
              <a:off x="0" y="10744200"/>
              <a:ext cx="1759858" cy="498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𝐸</m:t>
                        </m:r>
                        <m:d>
                          <m:dPr>
                            <m:begChr m:val="["/>
                            <m:endChr m:val="]"/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p>
                              <m:sSup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𝑋</m:t>
                                </m:r>
                              </m:e>
                              <m:sup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p>
                          </m:e>
                        </m:d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𝑡𝑜𝑡𝑎𝑙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m:rPr>
                                <m:sty m:val="p"/>
                              </m:rPr>
                              <a:rPr lang="en-US" altLang="ko-KR" sz="1100" b="0" i="0">
                                <a:latin typeface="Cambria Math" panose="02040503050406030204" pitchFamily="18" charset="0"/>
                              </a:rPr>
                              <m:t>Σ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𝑘</m:t>
                            </m:r>
                          </m:sup>
                        </m:sSubSup>
                        <m:d>
                          <m:d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𝑛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⋅</m:t>
                            </m:r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𝐸</m:t>
                            </m:r>
                            <m:d>
                              <m:dPr>
                                <m:begChr m:val="["/>
                                <m:endChr m:val="]"/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sSubSup>
                                  <m:sSubSupPr>
                                    <m:ctrlP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SupPr>
                                  <m:e>
                                    <m: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  <m:t>𝑋</m:t>
                                    </m:r>
                                  </m:e>
                                  <m:sub>
                                    <m: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  <m:t>𝑖</m:t>
                                    </m:r>
                                  </m:sub>
                                  <m:sup>
                                    <m: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  <m:t>2</m:t>
                                    </m:r>
                                  </m:sup>
                                </m:sSubSup>
                              </m:e>
                            </m:d>
                          </m:e>
                        </m:d>
                      </m:num>
                      <m:den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m:rPr>
                                <m:sty m:val="p"/>
                              </m:rPr>
                              <a:rPr lang="en-US" altLang="ko-KR" sz="1100" b="0" i="0">
                                <a:latin typeface="Cambria Math" panose="02040503050406030204" pitchFamily="18" charset="0"/>
                              </a:rPr>
                              <m:t>Σ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𝑘</m:t>
                            </m:r>
                          </m:sup>
                        </m:sSubSup>
                        <m:d>
                          <m:d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𝑛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</m:e>
                        </m:d>
                      </m:den>
                    </m:f>
                  </m:oMath>
                </m:oMathPara>
              </a14:m>
              <a:endParaRPr lang="en-US" altLang="ko-KR" sz="1100" b="0"/>
            </a:p>
            <a:p>
              <a:endParaRPr lang="en-US" altLang="ko-KR" sz="1100"/>
            </a:p>
          </xdr:txBody>
        </xdr:sp>
      </mc:Choice>
      <mc:Fallback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672137C1-90A8-ED48-9680-CAE2D146CDC9}"/>
                </a:ext>
              </a:extLst>
            </xdr:cNvPr>
            <xdr:cNvSpPr txBox="1"/>
          </xdr:nvSpPr>
          <xdr:spPr>
            <a:xfrm>
              <a:off x="0" y="10744200"/>
              <a:ext cx="1759858" cy="498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〖𝐸[𝑋^2 ]〗_𝑡𝑜𝑡𝑎𝑙=(Σ_(𝑖=1)^𝑘 (𝑛_𝑖⋅𝐸[𝑋_𝑖^2 ]))/(Σ_(𝑖=1)^𝑘 (𝑛_𝑖 ) )</a:t>
              </a:r>
              <a:endParaRPr lang="en-US" altLang="ko-KR" sz="1100" b="0"/>
            </a:p>
            <a:p>
              <a:endParaRPr lang="en-US" altLang="ko-KR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50</xdr:row>
      <xdr:rowOff>0</xdr:rowOff>
    </xdr:from>
    <xdr:ext cx="2239972" cy="24855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3EA9F3DD-FBF6-EC4F-9475-E8F400F24824}"/>
                </a:ext>
              </a:extLst>
            </xdr:cNvPr>
            <xdr:cNvSpPr txBox="1"/>
          </xdr:nvSpPr>
          <xdr:spPr>
            <a:xfrm>
              <a:off x="0" y="11430000"/>
              <a:ext cx="2239972" cy="2485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𝑡𝑜𝑡𝑎𝑙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𝐸</m:t>
                    </m:r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d>
                          <m:dPr>
                            <m:begChr m:val="["/>
                            <m:endChr m:val="]"/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p>
                              <m:sSup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𝑋</m:t>
                                </m:r>
                              </m:e>
                              <m:sup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p>
                          </m:e>
                        </m:d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𝑡𝑜𝑡𝑎𝑙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−</m:t>
                    </m:r>
                    <m:sSup>
                      <m:s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d>
                          <m:d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𝜇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𝑡𝑜𝑡𝑎𝑙</m:t>
                                </m:r>
                              </m:sub>
                            </m:sSub>
                          </m:e>
                        </m:d>
                      </m:e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3EA9F3DD-FBF6-EC4F-9475-E8F400F24824}"/>
                </a:ext>
              </a:extLst>
            </xdr:cNvPr>
            <xdr:cNvSpPr txBox="1"/>
          </xdr:nvSpPr>
          <xdr:spPr>
            <a:xfrm>
              <a:off x="0" y="11430000"/>
              <a:ext cx="2239972" cy="2485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𝜎_𝑡𝑜𝑡𝑎𝑙^2=𝐸[𝑋^2 ]_𝑡𝑜𝑡𝑎𝑙−(𝜇_𝑡𝑜𝑡𝑎𝑙 )^2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52</xdr:row>
      <xdr:rowOff>0</xdr:rowOff>
    </xdr:from>
    <xdr:ext cx="1559722" cy="55335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8C1A166C-9A73-D24D-B553-E6AE48531956}"/>
                </a:ext>
              </a:extLst>
            </xdr:cNvPr>
            <xdr:cNvSpPr txBox="1"/>
          </xdr:nvSpPr>
          <xdr:spPr>
            <a:xfrm>
              <a:off x="0" y="11887200"/>
              <a:ext cx="1559722" cy="5533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𝑙𝑜𝑔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rad>
                      <m:radPr>
                        <m:degHide m:val="on"/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r>
                          <m:rPr>
                            <m:sty m:val="p"/>
                          </m:rPr>
                          <a:rPr lang="en-US" altLang="ko-KR" sz="1100" b="0" i="1">
                            <a:latin typeface="Cambria Math" panose="02040503050406030204" pitchFamily="18" charset="0"/>
                          </a:rPr>
                          <m:t>ln</m:t>
                        </m:r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(1+</m:t>
                        </m:r>
                        <m:f>
                          <m:f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sSubSup>
                              <m:sSubSup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Sup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𝜎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𝑡𝑜𝑡𝑎𝑙</m:t>
                                </m:r>
                              </m:sub>
                              <m:sup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bSup>
                          </m:num>
                          <m:den>
                            <m:sSup>
                              <m:sSup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sSub>
                                  <m:sSubPr>
                                    <m:ctrlP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  <m:t>𝜇</m:t>
                                    </m:r>
                                  </m:e>
                                  <m:sub>
                                    <m: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  <m:t>𝑡𝑜𝑡𝑎𝑙</m:t>
                                    </m:r>
                                  </m:sub>
                                </m:sSub>
                              </m:e>
                              <m:sup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p>
                          </m:den>
                        </m:f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)</m:t>
                        </m:r>
                      </m:e>
                    </m:rad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8C1A166C-9A73-D24D-B553-E6AE48531956}"/>
                </a:ext>
              </a:extLst>
            </xdr:cNvPr>
            <xdr:cNvSpPr txBox="1"/>
          </xdr:nvSpPr>
          <xdr:spPr>
            <a:xfrm>
              <a:off x="0" y="11887200"/>
              <a:ext cx="1559722" cy="5533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𝜎_𝑙𝑜𝑔=√(ln(1+(𝜎_𝑡𝑜𝑡𝑎𝑙^2)/〖𝜇_𝑡𝑜𝑡𝑎𝑙〗^2 ))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55</xdr:row>
      <xdr:rowOff>0</xdr:rowOff>
    </xdr:from>
    <xdr:ext cx="1559722" cy="45357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941CBD9E-BEC0-3741-BF47-4CA8937496CF}"/>
                </a:ext>
              </a:extLst>
            </xdr:cNvPr>
            <xdr:cNvSpPr txBox="1"/>
          </xdr:nvSpPr>
          <xdr:spPr>
            <a:xfrm>
              <a:off x="0" y="12573000"/>
              <a:ext cx="1559722" cy="4535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𝑙𝑜𝑔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m:rPr>
                        <m:sty m:val="p"/>
                      </m:rPr>
                      <a:rPr lang="en-US" altLang="ko-KR" sz="1100" b="0" i="1">
                        <a:latin typeface="Cambria Math" panose="02040503050406030204" pitchFamily="18" charset="0"/>
                      </a:rPr>
                      <m:t>ln</m:t>
                    </m:r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𝑡𝑜𝑡𝑎𝑙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)−</m:t>
                    </m:r>
                    <m:f>
                      <m:f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𝜎</m:t>
                            </m:r>
                          </m:e>
                          <m:sub>
                            <m:r>
                              <m:rPr>
                                <m:sty m:val="p"/>
                              </m:r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log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bSup>
                      </m:num>
                      <m:den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den>
                    </m:f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941CBD9E-BEC0-3741-BF47-4CA8937496CF}"/>
                </a:ext>
              </a:extLst>
            </xdr:cNvPr>
            <xdr:cNvSpPr txBox="1"/>
          </xdr:nvSpPr>
          <xdr:spPr>
            <a:xfrm>
              <a:off x="0" y="12573000"/>
              <a:ext cx="1559722" cy="4535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𝜇_𝑙𝑜𝑔=ln(𝜇_𝑡𝑜𝑡𝑎𝑙)−(𝜎_log^2)/2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58</xdr:row>
      <xdr:rowOff>0</xdr:rowOff>
    </xdr:from>
    <xdr:ext cx="2071786" cy="18299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561A4842-1162-C747-8D26-C0A4CC87CFA0}"/>
                </a:ext>
              </a:extLst>
            </xdr:cNvPr>
            <xdr:cNvSpPr txBox="1"/>
          </xdr:nvSpPr>
          <xdr:spPr>
            <a:xfrm>
              <a:off x="0" y="13258800"/>
              <a:ext cx="2071786" cy="1829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en-US" altLang="ko-KR" sz="1100" b="0" i="1">
                        <a:latin typeface="Cambria Math" panose="02040503050406030204" pitchFamily="18" charset="0"/>
                      </a:rPr>
                      <m:t>p</m:t>
                    </m:r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95=</m:t>
                    </m:r>
                    <m:r>
                      <m:rPr>
                        <m:nor/>
                      </m:rPr>
                      <a:rPr lang="en-US" altLang="ko-KR" sz="1100" b="0" i="0">
                        <a:latin typeface="Cambria Math" panose="02040503050406030204" pitchFamily="18" charset="0"/>
                      </a:rPr>
                      <m:t>exp</m:t>
                    </m:r>
                    <m:r>
                      <m:rPr>
                        <m:nor/>
                      </m:rPr>
                      <a:rPr lang="en-US" altLang="ko-KR" sz="1100" b="0" i="0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𝑙𝑜𝑔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+1.64485 ⋅</m:t>
                    </m:r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𝑙𝑜𝑔</m:t>
                        </m:r>
                      </m:sub>
                    </m:sSub>
                    <m:r>
                      <m:rPr>
                        <m:nor/>
                      </m:rPr>
                      <a:rPr lang="en-US" altLang="ko-KR" sz="1100" b="0" i="0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ko-KR" altLang="en-US" sz="1100"/>
            </a:p>
          </xdr:txBody>
        </xdr:sp>
      </mc:Choice>
      <mc:Fallback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561A4842-1162-C747-8D26-C0A4CC87CFA0}"/>
                </a:ext>
              </a:extLst>
            </xdr:cNvPr>
            <xdr:cNvSpPr txBox="1"/>
          </xdr:nvSpPr>
          <xdr:spPr>
            <a:xfrm>
              <a:off x="0" y="13258800"/>
              <a:ext cx="2071786" cy="1829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p95="exp(" 𝜇_𝑙𝑜𝑔+1.64485 ⋅𝜎_𝑙𝑜𝑔 ")</a:t>
              </a:r>
              <a:r>
                <a:rPr lang="ko-KR" altLang="en-US" sz="1100" b="0" i="0">
                  <a:latin typeface="Cambria Math" panose="02040503050406030204" pitchFamily="18" charset="0"/>
                </a:rPr>
                <a:t>"</a:t>
              </a:r>
              <a:endParaRPr lang="ko-KR" altLang="en-US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F7C05-C66F-EA40-8DE2-4DAD36C0298A}">
  <dimension ref="A1:M60"/>
  <sheetViews>
    <sheetView tabSelected="1" topLeftCell="A27" workbookViewId="0">
      <selection activeCell="E40" sqref="E40"/>
    </sheetView>
  </sheetViews>
  <sheetFormatPr baseColWidth="10" defaultRowHeight="18"/>
  <cols>
    <col min="1" max="1" width="24" customWidth="1"/>
    <col min="2" max="2" width="12.7109375" bestFit="1" customWidth="1"/>
    <col min="3" max="3" width="8.7109375" bestFit="1" customWidth="1"/>
    <col min="4" max="4" width="6" bestFit="1" customWidth="1"/>
    <col min="5" max="5" width="18.85546875" bestFit="1" customWidth="1"/>
    <col min="6" max="6" width="30.5703125" bestFit="1" customWidth="1"/>
    <col min="7" max="7" width="6.7109375" bestFit="1" customWidth="1"/>
    <col min="8" max="8" width="19.7109375" bestFit="1" customWidth="1"/>
    <col min="9" max="9" width="23.85546875" bestFit="1" customWidth="1"/>
    <col min="10" max="10" width="14" bestFit="1" customWidth="1"/>
    <col min="11" max="11" width="23.42578125" bestFit="1" customWidth="1"/>
    <col min="12" max="12" width="30.7109375" bestFit="1" customWidth="1"/>
    <col min="13" max="13" width="20.7109375" bestFit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s="1">
        <v>46110.780173611114</v>
      </c>
      <c r="B2">
        <v>715</v>
      </c>
      <c r="C2">
        <v>176</v>
      </c>
      <c r="D2">
        <v>0</v>
      </c>
      <c r="E2">
        <v>1026.0909999999999</v>
      </c>
      <c r="F2">
        <v>909.65</v>
      </c>
      <c r="G2">
        <v>88</v>
      </c>
      <c r="H2">
        <v>77</v>
      </c>
      <c r="I2">
        <v>6776</v>
      </c>
      <c r="J2">
        <v>0</v>
      </c>
      <c r="K2">
        <v>0</v>
      </c>
      <c r="L2">
        <v>371.90899999999999</v>
      </c>
      <c r="M2">
        <v>400.27300000000002</v>
      </c>
    </row>
    <row r="3" spans="1:13">
      <c r="A3" s="1">
        <v>46110.78019675926</v>
      </c>
      <c r="B3">
        <v>513</v>
      </c>
      <c r="C3">
        <v>169</v>
      </c>
      <c r="D3">
        <v>0</v>
      </c>
      <c r="E3">
        <v>902.52099999999996</v>
      </c>
      <c r="F3">
        <v>570.03</v>
      </c>
      <c r="G3">
        <v>84.5</v>
      </c>
      <c r="H3">
        <v>152.50299999999999</v>
      </c>
      <c r="I3">
        <v>12886.5</v>
      </c>
      <c r="J3">
        <v>145</v>
      </c>
      <c r="K3">
        <v>0</v>
      </c>
      <c r="L3">
        <v>357.14800000000002</v>
      </c>
      <c r="M3">
        <v>429.40800000000002</v>
      </c>
    </row>
    <row r="4" spans="1:13">
      <c r="A4" s="1">
        <v>46110.780219907407</v>
      </c>
      <c r="B4">
        <v>303</v>
      </c>
      <c r="C4">
        <v>301</v>
      </c>
      <c r="D4">
        <v>0</v>
      </c>
      <c r="E4">
        <v>1093.213</v>
      </c>
      <c r="F4">
        <v>365.69499999999999</v>
      </c>
      <c r="G4">
        <v>150.5</v>
      </c>
      <c r="H4">
        <v>165</v>
      </c>
      <c r="I4">
        <v>24832.5</v>
      </c>
      <c r="J4">
        <v>301</v>
      </c>
      <c r="K4">
        <v>0</v>
      </c>
      <c r="L4">
        <v>351.05</v>
      </c>
      <c r="M4">
        <v>416.91399999999999</v>
      </c>
    </row>
    <row r="5" spans="1:13">
      <c r="A5" s="1">
        <v>46110.780243055553</v>
      </c>
      <c r="B5">
        <v>4</v>
      </c>
      <c r="C5">
        <v>151</v>
      </c>
      <c r="D5">
        <v>0</v>
      </c>
      <c r="E5">
        <v>1142.4639999999999</v>
      </c>
      <c r="F5">
        <v>372.94499999999999</v>
      </c>
      <c r="G5">
        <v>75.5</v>
      </c>
      <c r="H5">
        <v>165</v>
      </c>
      <c r="I5">
        <v>12457.5</v>
      </c>
      <c r="J5">
        <v>151</v>
      </c>
      <c r="K5">
        <v>0</v>
      </c>
      <c r="L5">
        <v>296.37700000000001</v>
      </c>
      <c r="M5">
        <v>362.27800000000002</v>
      </c>
    </row>
    <row r="6" spans="1:13">
      <c r="A6" s="1">
        <v>46110.780266203707</v>
      </c>
      <c r="B6">
        <v>1</v>
      </c>
      <c r="C6">
        <v>3</v>
      </c>
      <c r="D6">
        <v>0</v>
      </c>
      <c r="E6">
        <v>13.667</v>
      </c>
      <c r="F6">
        <v>2.0550000000000002</v>
      </c>
      <c r="G6">
        <v>1.5</v>
      </c>
      <c r="H6">
        <v>165</v>
      </c>
      <c r="I6">
        <v>247.5</v>
      </c>
      <c r="J6">
        <v>3</v>
      </c>
      <c r="K6">
        <v>0</v>
      </c>
      <c r="L6">
        <v>4.3330000000000002</v>
      </c>
      <c r="M6">
        <v>6</v>
      </c>
    </row>
    <row r="11" spans="1:13">
      <c r="A11">
        <f>C2</f>
        <v>176</v>
      </c>
      <c r="B11">
        <f t="shared" ref="B11:C15" si="0">E2</f>
        <v>1026.0909999999999</v>
      </c>
      <c r="C11">
        <f t="shared" si="0"/>
        <v>909.65</v>
      </c>
    </row>
    <row r="12" spans="1:13">
      <c r="A12">
        <f>C3</f>
        <v>169</v>
      </c>
      <c r="B12">
        <f t="shared" si="0"/>
        <v>902.52099999999996</v>
      </c>
      <c r="C12">
        <f t="shared" si="0"/>
        <v>570.03</v>
      </c>
    </row>
    <row r="13" spans="1:13">
      <c r="A13">
        <f>C4</f>
        <v>301</v>
      </c>
      <c r="B13">
        <f t="shared" si="0"/>
        <v>1093.213</v>
      </c>
      <c r="C13">
        <f t="shared" si="0"/>
        <v>365.69499999999999</v>
      </c>
    </row>
    <row r="14" spans="1:13">
      <c r="A14">
        <f>C5</f>
        <v>151</v>
      </c>
      <c r="B14">
        <f t="shared" si="0"/>
        <v>1142.4639999999999</v>
      </c>
      <c r="C14">
        <f t="shared" si="0"/>
        <v>372.94499999999999</v>
      </c>
    </row>
    <row r="15" spans="1:13">
      <c r="A15">
        <f>C6</f>
        <v>3</v>
      </c>
      <c r="B15">
        <f t="shared" si="0"/>
        <v>13.667</v>
      </c>
      <c r="C15">
        <f t="shared" si="0"/>
        <v>2.0550000000000002</v>
      </c>
    </row>
    <row r="17" spans="2:2">
      <c r="B17">
        <f>A11*B11</f>
        <v>180592.01599999997</v>
      </c>
    </row>
    <row r="18" spans="2:2">
      <c r="B18">
        <f>A12*B12</f>
        <v>152526.049</v>
      </c>
    </row>
    <row r="19" spans="2:2">
      <c r="B19">
        <f>A13*B13</f>
        <v>329057.11300000001</v>
      </c>
    </row>
    <row r="20" spans="2:2">
      <c r="B20">
        <f>A14*B14</f>
        <v>172512.06399999998</v>
      </c>
    </row>
    <row r="21" spans="2:2">
      <c r="B21">
        <f>A15*B15</f>
        <v>41.000999999999998</v>
      </c>
    </row>
    <row r="22" spans="2:2">
      <c r="B22">
        <f>SUM(B17:B21)</f>
        <v>834728.24300000002</v>
      </c>
    </row>
    <row r="23" spans="2:2">
      <c r="B23">
        <f>SUM(A11:A15)</f>
        <v>800</v>
      </c>
    </row>
    <row r="24" spans="2:2">
      <c r="B24">
        <f>B22/B23</f>
        <v>1043.4103037499999</v>
      </c>
    </row>
    <row r="25" spans="2:2">
      <c r="B25">
        <f>ROUND(B24,2)</f>
        <v>1043.4100000000001</v>
      </c>
    </row>
    <row r="27" spans="2:2">
      <c r="B27">
        <f>POWER(C11,2)</f>
        <v>827463.12249999994</v>
      </c>
    </row>
    <row r="28" spans="2:2">
      <c r="B28">
        <f>POWER(C12,2)</f>
        <v>324934.2009</v>
      </c>
    </row>
    <row r="29" spans="2:2">
      <c r="B29">
        <f>POWER(C13,2)</f>
        <v>133732.833025</v>
      </c>
    </row>
    <row r="30" spans="2:2">
      <c r="B30">
        <f>POWER(C14,2)</f>
        <v>139087.97302499998</v>
      </c>
    </row>
    <row r="31" spans="2:2">
      <c r="B31">
        <f>POWER(C15,2)</f>
        <v>4.2230250000000007</v>
      </c>
    </row>
    <row r="32" spans="2:2">
      <c r="B32">
        <f>POWER(B11,2)</f>
        <v>1052862.7402809998</v>
      </c>
    </row>
    <row r="33" spans="2:2">
      <c r="B33">
        <f>POWER(B12,2)</f>
        <v>814544.15544099989</v>
      </c>
    </row>
    <row r="34" spans="2:2">
      <c r="B34">
        <f>POWER(B13,2)</f>
        <v>1195114.663369</v>
      </c>
    </row>
    <row r="35" spans="2:2">
      <c r="B35">
        <f>POWER(B14,2)</f>
        <v>1305223.9912959998</v>
      </c>
    </row>
    <row r="36" spans="2:2">
      <c r="B36">
        <f>POWER(B15,2)</f>
        <v>186.786889</v>
      </c>
    </row>
    <row r="37" spans="2:2">
      <c r="B37">
        <f>B27+B32</f>
        <v>1880325.8627809999</v>
      </c>
    </row>
    <row r="38" spans="2:2">
      <c r="B38">
        <f>B28+B33</f>
        <v>1139478.3563409999</v>
      </c>
    </row>
    <row r="39" spans="2:2">
      <c r="B39">
        <f>B29+B34</f>
        <v>1328847.496394</v>
      </c>
    </row>
    <row r="40" spans="2:2">
      <c r="B40">
        <f>B30+B35</f>
        <v>1444311.9643209998</v>
      </c>
    </row>
    <row r="41" spans="2:2">
      <c r="B41">
        <f>B31+B36</f>
        <v>191.00991400000001</v>
      </c>
    </row>
    <row r="42" spans="2:2">
      <c r="B42">
        <f>A11*B37</f>
        <v>330937351.84945595</v>
      </c>
    </row>
    <row r="43" spans="2:2">
      <c r="B43">
        <f>A12*B38</f>
        <v>192571842.22162899</v>
      </c>
    </row>
    <row r="44" spans="2:2">
      <c r="B44">
        <f>A13*B39</f>
        <v>399983096.41459399</v>
      </c>
    </row>
    <row r="45" spans="2:2">
      <c r="B45">
        <f>A14*B40</f>
        <v>218091106.61247098</v>
      </c>
    </row>
    <row r="46" spans="2:2">
      <c r="B46">
        <f>A15*B41</f>
        <v>573.02974200000006</v>
      </c>
    </row>
    <row r="47" spans="2:2">
      <c r="B47">
        <f>SUM(B42:B46)</f>
        <v>1141583970.1278918</v>
      </c>
    </row>
    <row r="48" spans="2:2">
      <c r="B48">
        <f>B47/B23</f>
        <v>1426979.9626598647</v>
      </c>
    </row>
    <row r="51" spans="2:2">
      <c r="B51">
        <f>B48-POWER(B24,2)</f>
        <v>338274.9006881977</v>
      </c>
    </row>
    <row r="53" spans="2:2">
      <c r="B53">
        <f>SQRT(LN(1+B51/POWER(B24,2)))</f>
        <v>0.52016470791667946</v>
      </c>
    </row>
    <row r="56" spans="2:2">
      <c r="B56">
        <f>LN(B24)-POWER(B53,2)/2</f>
        <v>6.8149641040262319</v>
      </c>
    </row>
    <row r="59" spans="2:2">
      <c r="B59">
        <f>EXP(B56+1.64485*B53)</f>
        <v>2144.2755252448546</v>
      </c>
    </row>
    <row r="60" spans="2:2">
      <c r="B60">
        <f>ROUND(B59,2)</f>
        <v>2144.2800000000002</v>
      </c>
    </row>
  </sheetData>
  <phoneticPr fontId="18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pub-sub-lock-800-ngrinder-resul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함상현</dc:creator>
  <cp:lastModifiedBy>함상현</cp:lastModifiedBy>
  <dcterms:created xsi:type="dcterms:W3CDTF">2026-03-29T21:44:02Z</dcterms:created>
  <dcterms:modified xsi:type="dcterms:W3CDTF">2026-03-29T21:45:12Z</dcterms:modified>
</cp:coreProperties>
</file>