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3rd-test/pub-sub/"/>
    </mc:Choice>
  </mc:AlternateContent>
  <xr:revisionPtr revIDLastSave="0" documentId="13_ncr:9_{A932F341-7932-C849-A3A4-920409D2BC45}" xr6:coauthVersionLast="47" xr6:coauthVersionMax="47" xr10:uidLastSave="{00000000-0000-0000-0000-000000000000}"/>
  <bookViews>
    <workbookView xWindow="14700" yWindow="660" windowWidth="14700" windowHeight="18460" xr2:uid="{59AF6AD6-5814-5E43-BFC0-7769426EDF67}"/>
  </bookViews>
  <sheets>
    <sheet name="pub-sub-lock-500-ngrinder-resu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B45" i="1"/>
  <c r="B42" i="1"/>
  <c r="B39" i="1"/>
  <c r="B37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19" i="1"/>
  <c r="B18" i="1"/>
  <c r="B17" i="1"/>
  <c r="B16" i="1"/>
  <c r="B15" i="1"/>
  <c r="B14" i="1"/>
  <c r="B13" i="1"/>
  <c r="C11" i="1"/>
  <c r="C10" i="1"/>
  <c r="C9" i="1"/>
  <c r="B11" i="1"/>
  <c r="B10" i="1"/>
  <c r="B9" i="1"/>
  <c r="A11" i="1"/>
  <c r="A10" i="1"/>
  <c r="A9" i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<sst xmlns="http://schemas.openxmlformats.org/spreadsheetml/2006/main" count="13" uniqueCount="13">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</sst>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433CF21-AB50-A84C-9213-93B0A01B56AF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433CF21-AB50-A84C-9213-93B0A01B56AF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7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52EA144-DE75-C14F-A4E4-D38188A2A728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52EA144-DE75-C14F-A4E4-D38188A2A728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7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E6A532E-E546-D049-BC0A-5F61B687F33E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E6A532E-E546-D049-BC0A-5F61B687F33E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12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5BC9016-F982-0345-8E5C-24E11E65026B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5BC9016-F982-0345-8E5C-24E11E65026B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15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9E5CE15-14B8-4C4E-B288-B089142C4B37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9E5CE15-14B8-4C4E-B288-B089142C4B37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A5FF1FA-F0AB-0442-AD70-1F0124C5F1B0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A5FF1FA-F0AB-0442-AD70-1F0124C5F1B0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17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7598D3E-7AB9-DC4D-8FD6-A34196A10074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7598D3E-7AB9-DC4D-8FD6-A34196A10074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20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29F0DC8-F6C9-CB4B-B00E-8083133436DC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29F0DC8-F6C9-CB4B-B00E-8083133436DC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D16747D-C034-3F4B-A2D1-033117027519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D16747D-C034-3F4B-A2D1-033117027519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69685B3-D247-4545-8430-5FD98699D6DD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69685B3-D247-4545-8430-5FD98699D6DD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29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49AAC1E8-48C8-8A45-8BC4-4A6968A8228B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49AAC1E8-48C8-8A45-8BC4-4A6968A8228B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217E785-6344-A24D-A937-967E324CCDF9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217E785-6344-A24D-A937-967E324CCDF9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33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21A22EC-1EF1-A842-8457-480A3F6D04E1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21A22EC-1EF1-A842-8457-480A3F6D04E1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36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F350E16-585C-9A47-B51B-0B47F2412F1E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F350E16-585C-9A47-B51B-0B47F2412F1E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38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583E8EE-61F1-7D46-A064-306E0F22BFFD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583E8EE-61F1-7D46-A064-306E0F22BFFD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63298BC4-0215-BA49-A7E6-175F9C1AAFA5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63298BC4-0215-BA49-A7E6-175F9C1AAFA5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44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C1B9FCEF-5936-8D4E-96AE-EB81583E72DF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C1B9FCEF-5936-8D4E-96AE-EB81583E72DF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FC95-FE9F-1942-ABB2-C8F5AB9EB0B5}">
  <dimension ref="A1:M46"/>
  <sheetViews>
    <sheetView tabSelected="1" topLeftCell="A11" workbookViewId="0">
      <selection activeCell="F30" sqref="F30"/>
    </sheetView>
  </sheetViews>
  <sheetFormatPr baseColWidth="10" defaultRowHeight="18"/>
  <cols>
    <col min="1" max="1" width="26.1406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46110.773206018515</v>
      </c>
      <c r="B2">
        <v>238</v>
      </c>
      <c r="C2">
        <v>278</v>
      </c>
      <c r="D2">
        <v>0</v>
      </c>
      <c r="E2">
        <v>671.54700000000003</v>
      </c>
      <c r="F2">
        <v>508.68799999999999</v>
      </c>
      <c r="G2">
        <v>139</v>
      </c>
      <c r="H2">
        <v>101.691</v>
      </c>
      <c r="I2">
        <v>14135</v>
      </c>
      <c r="J2">
        <v>78</v>
      </c>
      <c r="K2">
        <v>0</v>
      </c>
      <c r="L2">
        <v>141.845</v>
      </c>
      <c r="M2">
        <v>224.32400000000001</v>
      </c>
    </row>
    <row r="3" spans="1:13">
      <c r="A3" s="1">
        <v>46110.773229166669</v>
      </c>
      <c r="B3">
        <v>12</v>
      </c>
      <c r="C3">
        <v>219</v>
      </c>
      <c r="D3">
        <v>0</v>
      </c>
      <c r="E3">
        <v>679.65300000000002</v>
      </c>
      <c r="F3">
        <v>324.935</v>
      </c>
      <c r="G3">
        <v>109.5</v>
      </c>
      <c r="H3">
        <v>165</v>
      </c>
      <c r="I3">
        <v>18067.5</v>
      </c>
      <c r="J3">
        <v>219</v>
      </c>
      <c r="K3">
        <v>0</v>
      </c>
      <c r="L3">
        <v>200.40600000000001</v>
      </c>
      <c r="M3">
        <v>280.07799999999997</v>
      </c>
    </row>
    <row r="4" spans="1:13">
      <c r="A4" s="1">
        <v>46110.773252314815</v>
      </c>
      <c r="B4">
        <v>0</v>
      </c>
      <c r="C4">
        <v>3</v>
      </c>
      <c r="D4">
        <v>0</v>
      </c>
      <c r="E4">
        <v>7</v>
      </c>
      <c r="F4">
        <v>3.5590000000000002</v>
      </c>
      <c r="G4">
        <v>1.5</v>
      </c>
      <c r="H4">
        <v>165</v>
      </c>
      <c r="I4">
        <v>247.5</v>
      </c>
      <c r="J4">
        <v>3</v>
      </c>
      <c r="K4">
        <v>0</v>
      </c>
      <c r="L4">
        <v>2</v>
      </c>
      <c r="M4">
        <v>2.6669999999999998</v>
      </c>
    </row>
    <row r="9" spans="1:13">
      <c r="A9">
        <f>C2</f>
        <v>278</v>
      </c>
      <c r="B9">
        <f>E2</f>
        <v>671.54700000000003</v>
      </c>
      <c r="C9">
        <f>F2</f>
        <v>508.68799999999999</v>
      </c>
    </row>
    <row r="10" spans="1:13">
      <c r="A10">
        <f>C3</f>
        <v>219</v>
      </c>
      <c r="B10">
        <f>E3</f>
        <v>679.65300000000002</v>
      </c>
      <c r="C10">
        <f>F3</f>
        <v>324.935</v>
      </c>
    </row>
    <row r="11" spans="1:13">
      <c r="A11">
        <f>C4</f>
        <v>3</v>
      </c>
      <c r="B11">
        <f>E4</f>
        <v>7</v>
      </c>
      <c r="C11">
        <f>F4</f>
        <v>3.5590000000000002</v>
      </c>
    </row>
    <row r="13" spans="1:13">
      <c r="B13">
        <f>A9*B9</f>
        <v>186690.06600000002</v>
      </c>
    </row>
    <row r="14" spans="1:13">
      <c r="B14">
        <f>A10*B10</f>
        <v>148844.00700000001</v>
      </c>
    </row>
    <row r="15" spans="1:13">
      <c r="B15">
        <f>A11*B11</f>
        <v>21</v>
      </c>
    </row>
    <row r="16" spans="1:13">
      <c r="B16">
        <f>SUM(B13:B15)</f>
        <v>335555.07300000003</v>
      </c>
    </row>
    <row r="17" spans="2:2">
      <c r="B17">
        <f>SUM(A9:A11)</f>
        <v>500</v>
      </c>
    </row>
    <row r="18" spans="2:2">
      <c r="B18">
        <f>B16/B17</f>
        <v>671.1101460000001</v>
      </c>
    </row>
    <row r="19" spans="2:2">
      <c r="B19">
        <f>ROUND(B18,2)</f>
        <v>671.11</v>
      </c>
    </row>
    <row r="21" spans="2:2">
      <c r="B21">
        <f>POWER(C9,2)</f>
        <v>258763.481344</v>
      </c>
    </row>
    <row r="22" spans="2:2">
      <c r="B22">
        <f>POWER(C10,2)</f>
        <v>105582.754225</v>
      </c>
    </row>
    <row r="23" spans="2:2">
      <c r="B23">
        <f>POWER(C11,2)</f>
        <v>12.666481000000001</v>
      </c>
    </row>
    <row r="24" spans="2:2">
      <c r="B24">
        <f>POWER(B9,2)</f>
        <v>450975.37320900004</v>
      </c>
    </row>
    <row r="25" spans="2:2">
      <c r="B25">
        <f>POWER(B10,2)</f>
        <v>461928.20040900004</v>
      </c>
    </row>
    <row r="26" spans="2:2">
      <c r="B26">
        <f>POWER(B11,2)</f>
        <v>49</v>
      </c>
    </row>
    <row r="27" spans="2:2">
      <c r="B27">
        <f>B21+B24</f>
        <v>709738.85455300007</v>
      </c>
    </row>
    <row r="28" spans="2:2">
      <c r="B28">
        <f>B22+B25</f>
        <v>567510.95463400008</v>
      </c>
    </row>
    <row r="29" spans="2:2">
      <c r="B29">
        <f>B23+B26</f>
        <v>61.666481000000005</v>
      </c>
    </row>
    <row r="30" spans="2:2">
      <c r="B30">
        <f>A9*B27</f>
        <v>197307401.56573403</v>
      </c>
    </row>
    <row r="31" spans="2:2">
      <c r="B31">
        <f>A10*B28</f>
        <v>124284899.06484602</v>
      </c>
    </row>
    <row r="32" spans="2:2">
      <c r="B32">
        <f>A11*B29</f>
        <v>184.99944300000001</v>
      </c>
    </row>
    <row r="33" spans="2:2">
      <c r="B33">
        <f>SUM(B30:B32)</f>
        <v>321592485.63002306</v>
      </c>
    </row>
    <row r="34" spans="2:2">
      <c r="B34">
        <f>B33/B17</f>
        <v>643184.97126004612</v>
      </c>
    </row>
    <row r="37" spans="2:2">
      <c r="B37">
        <f>B34-POWER(B18,2)</f>
        <v>192796.14319590467</v>
      </c>
    </row>
    <row r="39" spans="2:2">
      <c r="B39">
        <f>SQRT(LN(1+B37/POWER(B18,2)))</f>
        <v>0.59692636059345994</v>
      </c>
    </row>
    <row r="42" spans="2:2">
      <c r="B42">
        <f>LN(B18)-POWER(B39,2)/2</f>
        <v>6.3307727355264607</v>
      </c>
    </row>
    <row r="45" spans="2:2">
      <c r="B45">
        <f>EXP(B42+1.64485*B39)</f>
        <v>1499.1102729632578</v>
      </c>
    </row>
    <row r="46" spans="2:2">
      <c r="B46">
        <f>ROUND(B45,2)</f>
        <v>1499.11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pub-sub-lock-500-ngrinder-resul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2026-03-29T21:39:33Z</dcterms:created>
  <dcterms:modified xsi:type="dcterms:W3CDTF">2026-03-29T21:43:43Z</dcterms:modified>
</cp:coreProperties>
</file>