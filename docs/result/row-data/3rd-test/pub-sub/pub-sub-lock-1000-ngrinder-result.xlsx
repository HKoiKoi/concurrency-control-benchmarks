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3rd-test/pub-sub/"/>
    </mc:Choice>
  </mc:AlternateContent>
  <xr:revisionPtr revIDLastSave="0" documentId="13_ncr:9_{4B07BF32-B200-9B43-B861-666AF5EC4759}" xr6:coauthVersionLast="47" xr6:coauthVersionMax="47" xr10:uidLastSave="{00000000-0000-0000-0000-000000000000}"/>
  <bookViews>
    <workbookView xWindow="14700" yWindow="660" windowWidth="14700" windowHeight="18460" xr2:uid="{D15A84E1-063C-BB4B-8E37-043EA45E0263}"/>
  </bookViews>
  <sheets>
    <sheet name="pub-sub-lock-1000-ngrinder-res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8" i="1"/>
  <c r="B27" i="1"/>
  <c r="B35" i="1" s="1"/>
  <c r="B39" i="1" s="1"/>
  <c r="B24" i="1"/>
  <c r="B32" i="1" s="1"/>
  <c r="B18" i="1"/>
  <c r="B17" i="1"/>
  <c r="C13" i="1"/>
  <c r="B13" i="1"/>
  <c r="A13" i="1"/>
  <c r="C12" i="1"/>
  <c r="B26" i="1" s="1"/>
  <c r="B34" i="1" s="1"/>
  <c r="B12" i="1"/>
  <c r="A12" i="1"/>
  <c r="B38" i="1" s="1"/>
  <c r="C11" i="1"/>
  <c r="B25" i="1" s="1"/>
  <c r="B11" i="1"/>
  <c r="B29" i="1" s="1"/>
  <c r="A11" i="1"/>
  <c r="C10" i="1"/>
  <c r="B10" i="1"/>
  <c r="A10" i="1"/>
  <c r="B36" i="1" s="1"/>
  <c r="B33" i="1" l="1"/>
  <c r="B37" i="1"/>
  <c r="B40" i="1" s="1"/>
  <c r="B41" i="1" s="1"/>
  <c r="B44" i="1" s="1"/>
  <c r="B46" i="1" s="1"/>
  <c r="B16" i="1"/>
  <c r="B20" i="1"/>
  <c r="B15" i="1"/>
  <c r="B19" i="1" s="1"/>
  <c r="B21" i="1" s="1"/>
  <c r="B22" i="1" l="1"/>
  <c r="B49" i="1"/>
  <c r="B52" i="1" s="1"/>
  <c r="B53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<sst xmlns="http://schemas.openxmlformats.org/spreadsheetml/2006/main" count="13" uniqueCount="13">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</sst>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D1379E0-36BD-194C-9F56-36E61ED627C0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D1379E0-36BD-194C-9F56-36E61ED627C0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93BB95C-850F-D348-BAF1-190FBB59E25B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93BB95C-850F-D348-BAF1-190FBB59E25B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A12F621-F4D6-4845-BC6E-D8FE02F0BCA2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A12F621-F4D6-4845-BC6E-D8FE02F0BCA2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3BA0464-0B51-7B42-BF51-EBB8C7B16D39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3BA0464-0B51-7B42-BF51-EBB8C7B16D39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017DE5C-1AF9-0349-886B-AE8D51CE0657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017DE5C-1AF9-0349-886B-AE8D51CE0657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1778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699D6C-9980-514E-82B1-341C78AD61D0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699D6C-9980-514E-82B1-341C78AD61D0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226785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B7746B6-A3E2-7E4A-8517-72B720E82517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B7746B6-A3E2-7E4A-8517-72B720E82517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116FE59-4AE3-4543-BE75-A61253C67EEF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116FE59-4AE3-4543-BE75-A61253C67EEF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226785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12BC169-9958-C34C-8E61-BA5EA153CA86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12BC169-9958-C34C-8E61-BA5EA153CA86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0C0A0EE-7552-0441-8089-4ADD460F04E8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0C0A0EE-7552-0441-8089-4ADD460F04E8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1AC02BB-7517-5F4D-8D75-B4BE9CC80589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1AC02BB-7517-5F4D-8D75-B4BE9CC80589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EC01CC0-0E50-2641-8902-7E82ECDF0DF1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EC01CC0-0E50-2641-8902-7E82ECDF0DF1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40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3DE83DE-7B97-6F41-AD5E-7A8E795710AA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3DE83DE-7B97-6F41-AD5E-7A8E795710AA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9A5B06C-C668-BD41-A16C-8AB1DA4A57C7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9A5B06C-C668-BD41-A16C-8AB1DA4A57C7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37C9A70-0F54-AD40-BBAA-F2B537C0827E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37C9A70-0F54-AD40-BBAA-F2B537C0827E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48</xdr:row>
      <xdr:rowOff>1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EAA9EAA-9CC1-9B4B-B23C-177CC3B73631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EAA9EAA-9CC1-9B4B-B23C-177CC3B73631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DD463D33-8435-8A4A-B71E-FA105368A99D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DD463D33-8435-8A4A-B71E-FA105368A99D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C022-2C64-4742-9733-4A456BD3B4B2}">
  <dimension ref="A1:M53"/>
  <sheetViews>
    <sheetView tabSelected="1" workbookViewId="0">
      <selection activeCell="E10" sqref="E10"/>
    </sheetView>
  </sheetViews>
  <sheetFormatPr baseColWidth="10" defaultRowHeight="18"/>
  <cols>
    <col min="1" max="1" width="24.42578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46110.787141203706</v>
      </c>
      <c r="B2">
        <v>900</v>
      </c>
      <c r="C2">
        <v>100</v>
      </c>
      <c r="D2">
        <v>0</v>
      </c>
      <c r="E2">
        <v>1465.17</v>
      </c>
      <c r="F2">
        <v>451.923</v>
      </c>
      <c r="G2">
        <v>50</v>
      </c>
      <c r="H2">
        <v>77</v>
      </c>
      <c r="I2">
        <v>3850</v>
      </c>
      <c r="J2">
        <v>0</v>
      </c>
      <c r="K2">
        <v>0</v>
      </c>
      <c r="L2">
        <v>328.05</v>
      </c>
      <c r="M2">
        <v>464.6</v>
      </c>
    </row>
    <row r="3" spans="1:13">
      <c r="A3" s="1">
        <v>46110.787164351852</v>
      </c>
      <c r="B3">
        <v>813</v>
      </c>
      <c r="C3">
        <v>404</v>
      </c>
      <c r="D3">
        <v>0</v>
      </c>
      <c r="E3">
        <v>1532.2619999999999</v>
      </c>
      <c r="F3">
        <v>405.95299999999997</v>
      </c>
      <c r="G3">
        <v>202</v>
      </c>
      <c r="H3">
        <v>143.21799999999999</v>
      </c>
      <c r="I3">
        <v>28930</v>
      </c>
      <c r="J3">
        <v>304</v>
      </c>
      <c r="K3">
        <v>0</v>
      </c>
      <c r="L3">
        <v>346.47</v>
      </c>
      <c r="M3">
        <v>411.96800000000002</v>
      </c>
    </row>
    <row r="4" spans="1:13">
      <c r="A4" s="1">
        <v>46110.787187499998</v>
      </c>
      <c r="B4">
        <v>1</v>
      </c>
      <c r="C4">
        <v>495</v>
      </c>
      <c r="D4">
        <v>0</v>
      </c>
      <c r="E4">
        <v>1464.6769999999999</v>
      </c>
      <c r="F4">
        <v>612.31600000000003</v>
      </c>
      <c r="G4">
        <v>247.5</v>
      </c>
      <c r="H4">
        <v>165</v>
      </c>
      <c r="I4">
        <v>40837.5</v>
      </c>
      <c r="J4">
        <v>495</v>
      </c>
      <c r="K4">
        <v>0</v>
      </c>
      <c r="L4">
        <v>269.24400000000003</v>
      </c>
      <c r="M4">
        <v>369.47899999999998</v>
      </c>
    </row>
    <row r="5" spans="1:13">
      <c r="A5" s="1">
        <v>46110.787210648145</v>
      </c>
      <c r="B5">
        <v>0</v>
      </c>
      <c r="C5">
        <v>1</v>
      </c>
      <c r="D5">
        <v>0</v>
      </c>
      <c r="E5">
        <v>11</v>
      </c>
      <c r="F5">
        <v>0</v>
      </c>
      <c r="G5">
        <v>0.5</v>
      </c>
      <c r="H5">
        <v>165</v>
      </c>
      <c r="I5">
        <v>82.5</v>
      </c>
      <c r="J5">
        <v>1</v>
      </c>
      <c r="K5">
        <v>0</v>
      </c>
      <c r="L5">
        <v>3</v>
      </c>
      <c r="M5">
        <v>4</v>
      </c>
    </row>
    <row r="10" spans="1:13">
      <c r="A10">
        <f>C2</f>
        <v>100</v>
      </c>
      <c r="B10">
        <f t="shared" ref="B10:C13" si="0">E2</f>
        <v>1465.17</v>
      </c>
      <c r="C10">
        <f t="shared" si="0"/>
        <v>451.923</v>
      </c>
    </row>
    <row r="11" spans="1:13">
      <c r="A11">
        <f>C3</f>
        <v>404</v>
      </c>
      <c r="B11">
        <f t="shared" si="0"/>
        <v>1532.2619999999999</v>
      </c>
      <c r="C11">
        <f t="shared" si="0"/>
        <v>405.95299999999997</v>
      </c>
    </row>
    <row r="12" spans="1:13">
      <c r="A12">
        <f>C4</f>
        <v>495</v>
      </c>
      <c r="B12">
        <f t="shared" si="0"/>
        <v>1464.6769999999999</v>
      </c>
      <c r="C12">
        <f t="shared" si="0"/>
        <v>612.31600000000003</v>
      </c>
    </row>
    <row r="13" spans="1:13">
      <c r="A13">
        <f>C5</f>
        <v>1</v>
      </c>
      <c r="B13">
        <f t="shared" si="0"/>
        <v>11</v>
      </c>
      <c r="C13">
        <f t="shared" si="0"/>
        <v>0</v>
      </c>
    </row>
    <row r="15" spans="1:13">
      <c r="B15">
        <f>A10*B10</f>
        <v>146517</v>
      </c>
    </row>
    <row r="16" spans="1:13">
      <c r="B16">
        <f>A11*B11</f>
        <v>619033.848</v>
      </c>
    </row>
    <row r="17" spans="2:2">
      <c r="B17">
        <f>A12*B12</f>
        <v>725015.11499999999</v>
      </c>
    </row>
    <row r="18" spans="2:2">
      <c r="B18">
        <f>A13*B13</f>
        <v>11</v>
      </c>
    </row>
    <row r="19" spans="2:2">
      <c r="B19">
        <f>SUM(B15:B18)</f>
        <v>1490576.963</v>
      </c>
    </row>
    <row r="20" spans="2:2">
      <c r="B20">
        <f>SUM(A10:A13)</f>
        <v>1000</v>
      </c>
    </row>
    <row r="21" spans="2:2">
      <c r="B21">
        <f>B19/B20</f>
        <v>1490.576963</v>
      </c>
    </row>
    <row r="22" spans="2:2">
      <c r="B22">
        <f>ROUND(B21,2)</f>
        <v>1490.58</v>
      </c>
    </row>
    <row r="24" spans="2:2">
      <c r="B24">
        <f>POWER(C10,2)</f>
        <v>204234.397929</v>
      </c>
    </row>
    <row r="25" spans="2:2">
      <c r="B25">
        <f>POWER(C11,2)</f>
        <v>164797.83820899998</v>
      </c>
    </row>
    <row r="26" spans="2:2">
      <c r="B26">
        <f>POWER(C12,2)</f>
        <v>374930.88385600003</v>
      </c>
    </row>
    <row r="27" spans="2:2">
      <c r="B27">
        <f>POWER(C13,2)</f>
        <v>0</v>
      </c>
    </row>
    <row r="28" spans="2:2">
      <c r="B28">
        <f>POWER(B10,2)</f>
        <v>2146723.1289000004</v>
      </c>
    </row>
    <row r="29" spans="2:2">
      <c r="B29">
        <f>POWER(B11,2)</f>
        <v>2347826.8366439999</v>
      </c>
    </row>
    <row r="30" spans="2:2">
      <c r="B30">
        <f>POWER(B12,2)</f>
        <v>2145278.7143289996</v>
      </c>
    </row>
    <row r="31" spans="2:2">
      <c r="B31">
        <f>POWER(B13,2)</f>
        <v>121</v>
      </c>
    </row>
    <row r="32" spans="2:2">
      <c r="B32">
        <f>B24+B28</f>
        <v>2350957.5268290006</v>
      </c>
    </row>
    <row r="33" spans="2:2">
      <c r="B33">
        <f>B25+B29</f>
        <v>2512624.6748529999</v>
      </c>
    </row>
    <row r="34" spans="2:2">
      <c r="B34">
        <f>B26+B30</f>
        <v>2520209.5981849995</v>
      </c>
    </row>
    <row r="35" spans="2:2">
      <c r="B35">
        <f>B27+B31</f>
        <v>121</v>
      </c>
    </row>
    <row r="36" spans="2:2">
      <c r="B36">
        <f>A10*B32</f>
        <v>235095752.68290007</v>
      </c>
    </row>
    <row r="37" spans="2:2">
      <c r="B37">
        <f>A11*B33</f>
        <v>1015100368.6406119</v>
      </c>
    </row>
    <row r="38" spans="2:2">
      <c r="B38">
        <f>A12*B34</f>
        <v>1247503751.1015747</v>
      </c>
    </row>
    <row r="39" spans="2:2">
      <c r="B39">
        <f>A13*B35</f>
        <v>121</v>
      </c>
    </row>
    <row r="40" spans="2:2">
      <c r="B40">
        <f>SUM(B36:B39)</f>
        <v>2497699993.425087</v>
      </c>
    </row>
    <row r="41" spans="2:2">
      <c r="B41">
        <f>B40/B20</f>
        <v>2497699.9934250871</v>
      </c>
    </row>
    <row r="44" spans="2:2">
      <c r="B44">
        <f>B41-POWER(B21,2)</f>
        <v>275880.31079878379</v>
      </c>
    </row>
    <row r="46" spans="2:2">
      <c r="B46">
        <f>SQRT(LN(1+B44/POWER(B21,2)))</f>
        <v>0.34211660116217679</v>
      </c>
    </row>
    <row r="49" spans="2:2">
      <c r="B49">
        <f>LN(B21)-POWER(B46,2)/2</f>
        <v>7.2483966630823904</v>
      </c>
    </row>
    <row r="52" spans="2:2">
      <c r="B52">
        <f>EXP(B49+1.64485*B46)</f>
        <v>2467.9105846932689</v>
      </c>
    </row>
    <row r="53" spans="2:2">
      <c r="B53">
        <f>ROUND(B52,2)</f>
        <v>2467.91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pub-sub-lock-1000-ngrinder-resu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2026-03-29T21:45:19Z</dcterms:created>
  <dcterms:modified xsi:type="dcterms:W3CDTF">2026-03-29T21:46:25Z</dcterms:modified>
</cp:coreProperties>
</file>