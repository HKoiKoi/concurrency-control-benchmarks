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3rd-test/spin/"/>
    </mc:Choice>
  </mc:AlternateContent>
  <xr:revisionPtr revIDLastSave="0" documentId="13_ncr:9_{7FC83C48-18FB-5140-B121-114C857FAFB3}" xr6:coauthVersionLast="47" xr6:coauthVersionMax="47" xr10:uidLastSave="{00000000-0000-0000-0000-000000000000}"/>
  <bookViews>
    <workbookView xWindow="14700" yWindow="660" windowWidth="14700" windowHeight="18460" xr2:uid="{44C70FFF-2E09-944B-8287-934B32A8958E}"/>
  </bookViews>
  <sheets>
    <sheet name="spin-lock-1000-ngrinder-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B34" i="1"/>
  <c r="B29" i="1"/>
  <c r="B39" i="1" s="1"/>
  <c r="B44" i="1" s="1"/>
  <c r="B23" i="1"/>
  <c r="C15" i="1"/>
  <c r="B31" i="1" s="1"/>
  <c r="B41" i="1" s="1"/>
  <c r="B15" i="1"/>
  <c r="B36" i="1" s="1"/>
  <c r="A15" i="1"/>
  <c r="B21" i="1" s="1"/>
  <c r="C14" i="1"/>
  <c r="B30" i="1" s="1"/>
  <c r="B40" i="1" s="1"/>
  <c r="B45" i="1" s="1"/>
  <c r="B14" i="1"/>
  <c r="A14" i="1"/>
  <c r="B20" i="1" s="1"/>
  <c r="C13" i="1"/>
  <c r="B13" i="1"/>
  <c r="A13" i="1"/>
  <c r="B19" i="1" s="1"/>
  <c r="C12" i="1"/>
  <c r="B28" i="1" s="1"/>
  <c r="B12" i="1"/>
  <c r="B33" i="1" s="1"/>
  <c r="A12" i="1"/>
  <c r="C11" i="1"/>
  <c r="B27" i="1" s="1"/>
  <c r="B11" i="1"/>
  <c r="B17" i="1" s="1"/>
  <c r="A11" i="1"/>
  <c r="B38" i="1" l="1"/>
  <c r="B43" i="1" s="1"/>
  <c r="B46" i="1"/>
  <c r="B32" i="1"/>
  <c r="B37" i="1" s="1"/>
  <c r="B42" i="1" s="1"/>
  <c r="B47" i="1" s="1"/>
  <c r="B48" i="1" s="1"/>
  <c r="B18" i="1"/>
  <c r="B22" i="1" s="1"/>
  <c r="B24" i="1" s="1"/>
  <c r="B25" i="1" l="1"/>
  <c r="B51" i="1"/>
  <c r="B53" i="1" s="1"/>
  <c r="B56" i="1" s="1"/>
  <c r="B59" i="1" s="1"/>
  <c r="B60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<sst xmlns="http://schemas.openxmlformats.org/spreadsheetml/2006/main" count="13" uniqueCount="13">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</sst>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2684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E754F46-C39E-6549-A5CA-1785CC8EAFCE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E754F46-C39E-6549-A5CA-1785CC8EAFCE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9</xdr:row>
      <xdr:rowOff>0</xdr:rowOff>
    </xdr:from>
    <xdr:ext cx="279628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E1F3C36-0D84-B04F-BE10-1FD0DD67641F}"/>
                </a:ext>
              </a:extLst>
            </xdr:cNvPr>
            <xdr:cNvSpPr txBox="1"/>
          </xdr:nvSpPr>
          <xdr:spPr>
            <a:xfrm>
              <a:off x="21590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E1F3C36-0D84-B04F-BE10-1FD0DD67641F}"/>
                </a:ext>
              </a:extLst>
            </xdr:cNvPr>
            <xdr:cNvSpPr txBox="1"/>
          </xdr:nvSpPr>
          <xdr:spPr>
            <a:xfrm>
              <a:off x="21590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9</xdr:row>
      <xdr:rowOff>0</xdr:rowOff>
    </xdr:from>
    <xdr:ext cx="185692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B3BB289-76D3-5E41-9FF8-00ABB96D1647}"/>
                </a:ext>
              </a:extLst>
            </xdr:cNvPr>
            <xdr:cNvSpPr txBox="1"/>
          </xdr:nvSpPr>
          <xdr:spPr>
            <a:xfrm>
              <a:off x="32893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B3BB289-76D3-5E41-9FF8-00ABB96D1647}"/>
                </a:ext>
              </a:extLst>
            </xdr:cNvPr>
            <xdr:cNvSpPr txBox="1"/>
          </xdr:nvSpPr>
          <xdr:spPr>
            <a:xfrm>
              <a:off x="32893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16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324BBFE-0EDD-2B41-ADFF-537049EF5B9F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324BBFE-0EDD-2B41-ADFF-537049EF5B9F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21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53BC9A0-4001-4D49-AD9A-6E07448E1DF3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53BC9A0-4001-4D49-AD9A-6E07448E1DF3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22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A76FAA3-4CB8-B748-8F44-2EEFF8D3EE9C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A76FAA3-4CB8-B748-8F44-2EEFF8D3EE9C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23</xdr:row>
      <xdr:rowOff>0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2E39D84-7763-0B4A-B76F-3512C0956DD1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2E39D84-7763-0B4A-B76F-3512C0956DD1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FD10E02-CE97-C947-ADD5-4B2FFB4541A0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FD10E02-CE97-C947-ADD5-4B2FFB4541A0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31</xdr:row>
      <xdr:rowOff>0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E850804-AC8D-A64F-B985-AA9540208C3C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E850804-AC8D-A64F-B985-AA9540208C3C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36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D60BA226-94CF-8247-BC7F-1294DE097343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D60BA226-94CF-8247-BC7F-1294DE097343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7EF1D38F-4BE5-C147-BC6F-E78437565CF7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7EF1D38F-4BE5-C147-BC6F-E78437565CF7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46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82E6DFF-F1D1-824A-97DD-64E7A66A1D15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82E6DFF-F1D1-824A-97DD-64E7A66A1D15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47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2A18129-A450-044C-896D-E471DBDFCE75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2A18129-A450-044C-896D-E471DBDFCE75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50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62F27E0A-95EF-0A4B-BED4-11DA1E2923A3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62F27E0A-95EF-0A4B-BED4-11DA1E2923A3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52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21E4EF6-900D-804C-AB88-831C222F62E1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21E4EF6-900D-804C-AB88-831C222F62E1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55</xdr:row>
      <xdr:rowOff>0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6E43EDA0-7BE2-1F48-B87D-FE717CB80E84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6E43EDA0-7BE2-1F48-B87D-FE717CB80E84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58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4E8FF0C4-D150-464F-9DB5-839D52A69546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4E8FF0C4-D150-464F-9DB5-839D52A69546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40BF7-C754-7648-B7E7-80EC10C22AED}">
  <dimension ref="A1:M60"/>
  <sheetViews>
    <sheetView tabSelected="1" workbookViewId="0">
      <selection activeCell="E13" sqref="E13"/>
    </sheetView>
  </sheetViews>
  <sheetFormatPr baseColWidth="10" defaultRowHeight="18"/>
  <cols>
    <col min="1" max="1" width="24.4257812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46110.766273148147</v>
      </c>
      <c r="B2">
        <v>803</v>
      </c>
      <c r="C2">
        <v>197</v>
      </c>
      <c r="D2">
        <v>0</v>
      </c>
      <c r="E2">
        <v>1175.482</v>
      </c>
      <c r="F2">
        <v>493.55099999999999</v>
      </c>
      <c r="G2">
        <v>98.5</v>
      </c>
      <c r="H2">
        <v>74</v>
      </c>
      <c r="I2">
        <v>7289</v>
      </c>
      <c r="J2">
        <v>0</v>
      </c>
      <c r="K2">
        <v>0</v>
      </c>
      <c r="L2">
        <v>368.62400000000002</v>
      </c>
      <c r="M2">
        <v>428.05099999999999</v>
      </c>
    </row>
    <row r="3" spans="1:13">
      <c r="A3" s="1">
        <v>46110.766296296293</v>
      </c>
      <c r="B3">
        <v>528</v>
      </c>
      <c r="C3">
        <v>285</v>
      </c>
      <c r="D3">
        <v>0</v>
      </c>
      <c r="E3">
        <v>810.63900000000001</v>
      </c>
      <c r="F3">
        <v>617.21799999999996</v>
      </c>
      <c r="G3">
        <v>142.5</v>
      </c>
      <c r="H3">
        <v>164.042</v>
      </c>
      <c r="I3">
        <v>23376</v>
      </c>
      <c r="J3">
        <v>282</v>
      </c>
      <c r="K3">
        <v>0</v>
      </c>
      <c r="L3">
        <v>278.62099999999998</v>
      </c>
      <c r="M3">
        <v>359.04199999999997</v>
      </c>
    </row>
    <row r="4" spans="1:13">
      <c r="A4" s="1">
        <v>46110.766319444447</v>
      </c>
      <c r="B4">
        <v>213</v>
      </c>
      <c r="C4">
        <v>306</v>
      </c>
      <c r="D4">
        <v>0</v>
      </c>
      <c r="E4">
        <v>985.80700000000002</v>
      </c>
      <c r="F4">
        <v>360.25299999999999</v>
      </c>
      <c r="G4">
        <v>153</v>
      </c>
      <c r="H4">
        <v>165</v>
      </c>
      <c r="I4">
        <v>25245</v>
      </c>
      <c r="J4">
        <v>306</v>
      </c>
      <c r="K4">
        <v>0</v>
      </c>
      <c r="L4">
        <v>249.96700000000001</v>
      </c>
      <c r="M4">
        <v>337.52300000000002</v>
      </c>
    </row>
    <row r="5" spans="1:13">
      <c r="A5" s="1">
        <v>46110.766342592593</v>
      </c>
      <c r="B5">
        <v>102</v>
      </c>
      <c r="C5">
        <v>208</v>
      </c>
      <c r="D5">
        <v>0</v>
      </c>
      <c r="E5">
        <v>706.21199999999999</v>
      </c>
      <c r="F5">
        <v>244.96700000000001</v>
      </c>
      <c r="G5">
        <v>104</v>
      </c>
      <c r="H5">
        <v>165</v>
      </c>
      <c r="I5">
        <v>17160</v>
      </c>
      <c r="J5">
        <v>208</v>
      </c>
      <c r="K5">
        <v>0</v>
      </c>
      <c r="L5">
        <v>210.83199999999999</v>
      </c>
      <c r="M5">
        <v>263.29300000000001</v>
      </c>
    </row>
    <row r="6" spans="1:13">
      <c r="A6" s="1">
        <v>46110.766365740739</v>
      </c>
      <c r="B6">
        <v>2</v>
      </c>
      <c r="C6">
        <v>4</v>
      </c>
      <c r="D6">
        <v>0</v>
      </c>
      <c r="E6">
        <v>10.5</v>
      </c>
      <c r="F6">
        <v>0.86599999999999999</v>
      </c>
      <c r="G6">
        <v>2</v>
      </c>
      <c r="H6">
        <v>165</v>
      </c>
      <c r="I6">
        <v>330</v>
      </c>
      <c r="J6">
        <v>4</v>
      </c>
      <c r="K6">
        <v>0</v>
      </c>
      <c r="L6">
        <v>3.5</v>
      </c>
      <c r="M6">
        <v>5.25</v>
      </c>
    </row>
    <row r="11" spans="1:13">
      <c r="A11">
        <f>C2</f>
        <v>197</v>
      </c>
      <c r="B11">
        <f t="shared" ref="B11:C15" si="0">E2</f>
        <v>1175.482</v>
      </c>
      <c r="C11">
        <f t="shared" si="0"/>
        <v>493.55099999999999</v>
      </c>
    </row>
    <row r="12" spans="1:13">
      <c r="A12">
        <f>C3</f>
        <v>285</v>
      </c>
      <c r="B12">
        <f t="shared" si="0"/>
        <v>810.63900000000001</v>
      </c>
      <c r="C12">
        <f t="shared" si="0"/>
        <v>617.21799999999996</v>
      </c>
    </row>
    <row r="13" spans="1:13">
      <c r="A13">
        <f>C4</f>
        <v>306</v>
      </c>
      <c r="B13">
        <f t="shared" si="0"/>
        <v>985.80700000000002</v>
      </c>
      <c r="C13">
        <f t="shared" si="0"/>
        <v>360.25299999999999</v>
      </c>
    </row>
    <row r="14" spans="1:13">
      <c r="A14">
        <f>C5</f>
        <v>208</v>
      </c>
      <c r="B14">
        <f t="shared" si="0"/>
        <v>706.21199999999999</v>
      </c>
      <c r="C14">
        <f t="shared" si="0"/>
        <v>244.96700000000001</v>
      </c>
    </row>
    <row r="15" spans="1:13">
      <c r="A15">
        <f>C6</f>
        <v>4</v>
      </c>
      <c r="B15">
        <f t="shared" si="0"/>
        <v>10.5</v>
      </c>
      <c r="C15">
        <f t="shared" si="0"/>
        <v>0.86599999999999999</v>
      </c>
    </row>
    <row r="17" spans="2:2">
      <c r="B17">
        <f>A11*B11</f>
        <v>231569.954</v>
      </c>
    </row>
    <row r="18" spans="2:2">
      <c r="B18">
        <f>A12*B12</f>
        <v>231032.11499999999</v>
      </c>
    </row>
    <row r="19" spans="2:2">
      <c r="B19">
        <f>A13*B13</f>
        <v>301656.94199999998</v>
      </c>
    </row>
    <row r="20" spans="2:2">
      <c r="B20">
        <f>A14*B14</f>
        <v>146892.09599999999</v>
      </c>
    </row>
    <row r="21" spans="2:2">
      <c r="B21">
        <f>A15*B15</f>
        <v>42</v>
      </c>
    </row>
    <row r="22" spans="2:2">
      <c r="B22">
        <f>SUM(B17:B21)</f>
        <v>911193.10699999996</v>
      </c>
    </row>
    <row r="23" spans="2:2">
      <c r="B23">
        <f>SUM(A11:A15)</f>
        <v>1000</v>
      </c>
    </row>
    <row r="24" spans="2:2">
      <c r="B24">
        <f>B22/B23</f>
        <v>911.19310699999994</v>
      </c>
    </row>
    <row r="25" spans="2:2">
      <c r="B25">
        <f>ROUND(B24,2)</f>
        <v>911.19</v>
      </c>
    </row>
    <row r="27" spans="2:2">
      <c r="B27">
        <f>POWER(C11,2)</f>
        <v>243592.58960099999</v>
      </c>
    </row>
    <row r="28" spans="2:2">
      <c r="B28">
        <f>POWER(C12,2)</f>
        <v>380958.05952399992</v>
      </c>
    </row>
    <row r="29" spans="2:2">
      <c r="B29">
        <f>POWER(C13,2)</f>
        <v>129782.22400899998</v>
      </c>
    </row>
    <row r="30" spans="2:2">
      <c r="B30">
        <f>POWER(C14,2)</f>
        <v>60008.831089000007</v>
      </c>
    </row>
    <row r="31" spans="2:2">
      <c r="B31">
        <f>POWER(C15,2)</f>
        <v>0.74995599999999996</v>
      </c>
    </row>
    <row r="32" spans="2:2">
      <c r="B32">
        <f>POWER(B11,2)</f>
        <v>1381757.9323239999</v>
      </c>
    </row>
    <row r="33" spans="2:2">
      <c r="B33">
        <f>POWER(B12,2)</f>
        <v>657135.58832099999</v>
      </c>
    </row>
    <row r="34" spans="2:2">
      <c r="B34">
        <f>POWER(B13,2)</f>
        <v>971815.44124900002</v>
      </c>
    </row>
    <row r="35" spans="2:2">
      <c r="B35">
        <f>POWER(B14,2)</f>
        <v>498735.38894400001</v>
      </c>
    </row>
    <row r="36" spans="2:2">
      <c r="B36">
        <f>POWER(B15,2)</f>
        <v>110.25</v>
      </c>
    </row>
    <row r="37" spans="2:2">
      <c r="B37">
        <f>B27+B32</f>
        <v>1625350.521925</v>
      </c>
    </row>
    <row r="38" spans="2:2">
      <c r="B38">
        <f>B28+B33</f>
        <v>1038093.6478449999</v>
      </c>
    </row>
    <row r="39" spans="2:2">
      <c r="B39">
        <f>B29+B34</f>
        <v>1101597.6652579999</v>
      </c>
    </row>
    <row r="40" spans="2:2">
      <c r="B40">
        <f>B30+B35</f>
        <v>558744.22003299999</v>
      </c>
    </row>
    <row r="41" spans="2:2">
      <c r="B41">
        <f>B31+B36</f>
        <v>110.999956</v>
      </c>
    </row>
    <row r="42" spans="2:2">
      <c r="B42">
        <f>A11*B37</f>
        <v>320194052.81922501</v>
      </c>
    </row>
    <row r="43" spans="2:2">
      <c r="B43">
        <f>A12*B38</f>
        <v>295856689.63582498</v>
      </c>
    </row>
    <row r="44" spans="2:2">
      <c r="B44">
        <f>A13*B39</f>
        <v>337088885.56894797</v>
      </c>
    </row>
    <row r="45" spans="2:2">
      <c r="B45">
        <f>A14*B40</f>
        <v>116218797.766864</v>
      </c>
    </row>
    <row r="46" spans="2:2">
      <c r="B46">
        <f>A15*B41</f>
        <v>443.99982399999999</v>
      </c>
    </row>
    <row r="47" spans="2:2">
      <c r="B47">
        <f>SUM(B42:B46)</f>
        <v>1069358869.7906861</v>
      </c>
    </row>
    <row r="48" spans="2:2">
      <c r="B48">
        <f>B47/B23</f>
        <v>1069358.8697906861</v>
      </c>
    </row>
    <row r="51" spans="2:2">
      <c r="B51">
        <f>B48-POWER(B24,2)</f>
        <v>239085.99154637277</v>
      </c>
    </row>
    <row r="53" spans="2:2">
      <c r="B53">
        <f>SQRT(LN(1+B51/POWER(B24,2)))</f>
        <v>0.50305083742409706</v>
      </c>
    </row>
    <row r="56" spans="2:2">
      <c r="B56">
        <f>LN(B24)-POWER(B53,2)/2</f>
        <v>6.6882247748380363</v>
      </c>
    </row>
    <row r="59" spans="2:2">
      <c r="B59">
        <f>EXP(B56+1.64485*B53)</f>
        <v>1836.5938099257849</v>
      </c>
    </row>
    <row r="60" spans="2:2">
      <c r="B60">
        <f>ROUND(B59,2)</f>
        <v>1836.59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spin-lock-1000-ngrinder-result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2026-03-29T21:19:10Z</dcterms:created>
  <dcterms:modified xsi:type="dcterms:W3CDTF">2026-03-29T21:20:11Z</dcterms:modified>
</cp:coreProperties>
</file>