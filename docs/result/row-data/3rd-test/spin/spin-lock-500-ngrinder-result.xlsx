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3rd-test/spin/"/>
    </mc:Choice>
  </mc:AlternateContent>
  <xr:revisionPtr revIDLastSave="0" documentId="13_ncr:9_{CEFBC001-2088-FC45-B876-B959A1CBE2F3}" xr6:coauthVersionLast="47" xr6:coauthVersionMax="47" xr10:uidLastSave="{00000000-0000-0000-0000-000000000000}"/>
  <bookViews>
    <workbookView xWindow="14700" yWindow="660" windowWidth="14700" windowHeight="18460" xr2:uid="{BA4C1824-727C-034C-BD41-BAFD73EEB535}"/>
  </bookViews>
  <sheets>
    <sheet name="spin-lock-500-ngrinder-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8" i="1"/>
  <c r="B27" i="1"/>
  <c r="B35" i="1" s="1"/>
  <c r="B39" i="1" s="1"/>
  <c r="B18" i="1"/>
  <c r="B17" i="1"/>
  <c r="C13" i="1"/>
  <c r="B13" i="1"/>
  <c r="A13" i="1"/>
  <c r="C12" i="1"/>
  <c r="B26" i="1" s="1"/>
  <c r="B34" i="1" s="1"/>
  <c r="B38" i="1" s="1"/>
  <c r="B12" i="1"/>
  <c r="A12" i="1"/>
  <c r="C11" i="1"/>
  <c r="B25" i="1" s="1"/>
  <c r="B11" i="1"/>
  <c r="B29" i="1" s="1"/>
  <c r="A11" i="1"/>
  <c r="B20" i="1" s="1"/>
  <c r="C10" i="1"/>
  <c r="B24" i="1" s="1"/>
  <c r="B32" i="1" s="1"/>
  <c r="B10" i="1"/>
  <c r="A10" i="1"/>
  <c r="B36" i="1" l="1"/>
  <c r="B33" i="1"/>
  <c r="B16" i="1"/>
  <c r="B37" i="1"/>
  <c r="B15" i="1"/>
  <c r="B19" i="1" s="1"/>
  <c r="B21" i="1" s="1"/>
  <c r="B22" i="1" l="1"/>
  <c r="B40" i="1"/>
  <c r="B41" i="1" s="1"/>
  <c r="B44" i="1" s="1"/>
  <c r="B46" i="1" s="1"/>
  <c r="B49" i="1" s="1"/>
  <c r="B52" i="1" s="1"/>
  <c r="B53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<sst xmlns="http://schemas.openxmlformats.org/spreadsheetml/2006/main" count="13" uniqueCount="13">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</sst>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4539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82706B-EAD9-B847-B4D3-BAF6FEFB139C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82706B-EAD9-B847-B4D3-BAF6FEFB139C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1049454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1E554DF-C80B-1945-A2D3-6156F2F024B5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1E554DF-C80B-1945-A2D3-6156F2F024B5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0</xdr:rowOff>
    </xdr:from>
    <xdr:ext cx="806503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CBE903E-07E9-5B4C-88DB-2347A651203E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CBE903E-07E9-5B4C-88DB-2347A651203E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1</xdr:colOff>
      <xdr:row>8</xdr:row>
      <xdr:rowOff>0</xdr:rowOff>
    </xdr:from>
    <xdr:ext cx="254000" cy="34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9C29D10-E281-CE41-B05A-5D4C49C5261B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9C29D10-E281-CE41-B05A-5D4C49C5261B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8</xdr:row>
      <xdr:rowOff>0</xdr:rowOff>
    </xdr:from>
    <xdr:ext cx="254000" cy="34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7410541-6B8C-4A40-9358-9DC4B17C355D}"/>
                </a:ext>
              </a:extLst>
            </xdr:cNvPr>
            <xdr:cNvSpPr txBox="1"/>
          </xdr:nvSpPr>
          <xdr:spPr>
            <a:xfrm>
              <a:off x="22606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7410541-6B8C-4A40-9358-9DC4B17C355D}"/>
                </a:ext>
              </a:extLst>
            </xdr:cNvPr>
            <xdr:cNvSpPr txBox="1"/>
          </xdr:nvSpPr>
          <xdr:spPr>
            <a:xfrm>
              <a:off x="22606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8</xdr:row>
      <xdr:rowOff>0</xdr:rowOff>
    </xdr:from>
    <xdr:ext cx="177800" cy="34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4C20E3B-C2EC-7A4F-BFA5-156F59AE9446}"/>
                </a:ext>
              </a:extLst>
            </xdr:cNvPr>
            <xdr:cNvSpPr txBox="1"/>
          </xdr:nvSpPr>
          <xdr:spPr>
            <a:xfrm>
              <a:off x="33909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4C20E3B-C2EC-7A4F-BFA5-156F59AE9446}"/>
                </a:ext>
              </a:extLst>
            </xdr:cNvPr>
            <xdr:cNvSpPr txBox="1"/>
          </xdr:nvSpPr>
          <xdr:spPr>
            <a:xfrm>
              <a:off x="33909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226785</xdr:rowOff>
    </xdr:from>
    <xdr:ext cx="1303947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D7FC863-CB7D-9040-9FB5-DC763604161B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D7FC863-CB7D-9040-9FB5-DC763604161B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241300" cy="527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7789E3C-0EBD-3D45-B50E-79381793537A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7789E3C-0EBD-3D45-B50E-79381793537A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226785</xdr:rowOff>
    </xdr:from>
    <xdr:ext cx="253787" cy="5273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9D1F211-B075-D846-82C5-A89A6BD77F60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9D1F211-B075-D846-82C5-A89A6BD77F60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1056379" cy="28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0D72F19-0315-F243-80C5-3C717AE3EFA7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0D72F19-0315-F243-80C5-3C717AE3EFA7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726930" cy="2648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FFEE723-2642-DA41-90F1-FD798056E329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FFEE723-2642-DA41-90F1-FD798056E329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1014380" cy="244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F0CFC25-451B-D946-B9B1-5326EBC7DC02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F0CFC25-451B-D946-B9B1-5326EBC7DC02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40</xdr:row>
      <xdr:rowOff>0</xdr:rowOff>
    </xdr:from>
    <xdr:ext cx="1759858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9BDA3E9-E69C-B347-8D3F-D487BD11C16E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9BDA3E9-E69C-B347-8D3F-D487BD11C16E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43</xdr:row>
      <xdr:rowOff>0</xdr:rowOff>
    </xdr:from>
    <xdr:ext cx="2239972" cy="2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E247309-269D-6E44-ADB8-87E93E4921BD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E247309-269D-6E44-ADB8-87E93E4921BD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45</xdr:row>
      <xdr:rowOff>0</xdr:rowOff>
    </xdr:from>
    <xdr:ext cx="1559722" cy="5533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068AD8F-67FB-7742-B0A0-1AAF53673F89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068AD8F-67FB-7742-B0A0-1AAF53673F89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48</xdr:row>
      <xdr:rowOff>1</xdr:rowOff>
    </xdr:from>
    <xdr:ext cx="1559722" cy="4535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3D03C53-B4E7-F547-9B76-1C5C3866F049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3D03C53-B4E7-F547-9B76-1C5C3866F049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51</xdr:row>
      <xdr:rowOff>0</xdr:rowOff>
    </xdr:from>
    <xdr:ext cx="2071786" cy="182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54982AA-75B4-4744-BED9-1DD49F3C2C16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54982AA-75B4-4744-BED9-1DD49F3C2C16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610D1-C268-174B-AED6-8717ECF2FF97}">
  <dimension ref="A1:M53"/>
  <sheetViews>
    <sheetView tabSelected="1" workbookViewId="0">
      <selection activeCell="A6" sqref="A6:D65"/>
    </sheetView>
  </sheetViews>
  <sheetFormatPr baseColWidth="10" defaultRowHeight="18"/>
  <cols>
    <col min="1" max="1" width="24.8554687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4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46110.752349537041</v>
      </c>
      <c r="B2">
        <v>419</v>
      </c>
      <c r="C2">
        <v>90</v>
      </c>
      <c r="D2">
        <v>0</v>
      </c>
      <c r="E2">
        <v>73.2</v>
      </c>
      <c r="F2">
        <v>77.673000000000002</v>
      </c>
      <c r="G2">
        <v>45</v>
      </c>
      <c r="H2">
        <v>74</v>
      </c>
      <c r="I2">
        <v>3330</v>
      </c>
      <c r="J2">
        <v>0</v>
      </c>
      <c r="K2">
        <v>0</v>
      </c>
      <c r="L2">
        <v>13.722</v>
      </c>
      <c r="M2">
        <v>21.643999999999998</v>
      </c>
    </row>
    <row r="3" spans="1:13">
      <c r="A3" s="1">
        <v>46110.752372685187</v>
      </c>
      <c r="B3">
        <v>402</v>
      </c>
      <c r="C3">
        <v>282</v>
      </c>
      <c r="D3">
        <v>0</v>
      </c>
      <c r="E3">
        <v>799.16700000000003</v>
      </c>
      <c r="F3">
        <v>385.71300000000002</v>
      </c>
      <c r="G3">
        <v>141</v>
      </c>
      <c r="H3">
        <v>129.50399999999999</v>
      </c>
      <c r="I3">
        <v>18260</v>
      </c>
      <c r="J3">
        <v>172</v>
      </c>
      <c r="K3">
        <v>0</v>
      </c>
      <c r="L3">
        <v>279.77999999999997</v>
      </c>
      <c r="M3">
        <v>331.83</v>
      </c>
    </row>
    <row r="4" spans="1:13">
      <c r="A4" s="1">
        <v>46110.752395833333</v>
      </c>
      <c r="B4">
        <v>106</v>
      </c>
      <c r="C4">
        <v>118</v>
      </c>
      <c r="D4">
        <v>0</v>
      </c>
      <c r="E4">
        <v>618.33900000000006</v>
      </c>
      <c r="F4">
        <v>339.33300000000003</v>
      </c>
      <c r="G4">
        <v>59</v>
      </c>
      <c r="H4">
        <v>165</v>
      </c>
      <c r="I4">
        <v>9735</v>
      </c>
      <c r="J4">
        <v>118</v>
      </c>
      <c r="K4">
        <v>0</v>
      </c>
      <c r="L4">
        <v>214.72900000000001</v>
      </c>
      <c r="M4">
        <v>252.483</v>
      </c>
    </row>
    <row r="5" spans="1:13">
      <c r="A5" s="1">
        <v>46110.752418981479</v>
      </c>
      <c r="B5">
        <v>0</v>
      </c>
      <c r="C5">
        <v>10</v>
      </c>
      <c r="D5">
        <v>0</v>
      </c>
      <c r="E5">
        <v>7.3</v>
      </c>
      <c r="F5">
        <v>2.452</v>
      </c>
      <c r="G5">
        <v>5</v>
      </c>
      <c r="H5">
        <v>165</v>
      </c>
      <c r="I5">
        <v>825</v>
      </c>
      <c r="J5">
        <v>10</v>
      </c>
      <c r="K5">
        <v>0</v>
      </c>
      <c r="L5">
        <v>2.1</v>
      </c>
      <c r="M5">
        <v>3.3</v>
      </c>
    </row>
    <row r="10" spans="1:13">
      <c r="A10">
        <f>C2</f>
        <v>90</v>
      </c>
      <c r="B10">
        <f t="shared" ref="B10:C13" si="0">E2</f>
        <v>73.2</v>
      </c>
      <c r="C10">
        <f t="shared" si="0"/>
        <v>77.673000000000002</v>
      </c>
    </row>
    <row r="11" spans="1:13">
      <c r="A11">
        <f>C3</f>
        <v>282</v>
      </c>
      <c r="B11">
        <f t="shared" si="0"/>
        <v>799.16700000000003</v>
      </c>
      <c r="C11">
        <f t="shared" si="0"/>
        <v>385.71300000000002</v>
      </c>
    </row>
    <row r="12" spans="1:13">
      <c r="A12">
        <f>C4</f>
        <v>118</v>
      </c>
      <c r="B12">
        <f t="shared" si="0"/>
        <v>618.33900000000006</v>
      </c>
      <c r="C12">
        <f t="shared" si="0"/>
        <v>339.33300000000003</v>
      </c>
    </row>
    <row r="13" spans="1:13">
      <c r="A13">
        <f>C5</f>
        <v>10</v>
      </c>
      <c r="B13">
        <f t="shared" si="0"/>
        <v>7.3</v>
      </c>
      <c r="C13">
        <f t="shared" si="0"/>
        <v>2.452</v>
      </c>
    </row>
    <row r="15" spans="1:13">
      <c r="B15">
        <f>A10*B10</f>
        <v>6588</v>
      </c>
    </row>
    <row r="16" spans="1:13">
      <c r="B16">
        <f>A11*B11</f>
        <v>225365.09400000001</v>
      </c>
    </row>
    <row r="17" spans="2:2">
      <c r="B17">
        <f>A12*B12</f>
        <v>72964.002000000008</v>
      </c>
    </row>
    <row r="18" spans="2:2">
      <c r="B18">
        <f>A13*B13</f>
        <v>73</v>
      </c>
    </row>
    <row r="19" spans="2:2">
      <c r="B19">
        <f>SUM(B15:B18)</f>
        <v>304990.09600000002</v>
      </c>
    </row>
    <row r="20" spans="2:2">
      <c r="B20">
        <f>SUM(A10:A13)</f>
        <v>500</v>
      </c>
    </row>
    <row r="21" spans="2:2">
      <c r="B21">
        <f>B19/B20</f>
        <v>609.98019199999999</v>
      </c>
    </row>
    <row r="22" spans="2:2">
      <c r="B22">
        <f>ROUND(B21,2)</f>
        <v>609.98</v>
      </c>
    </row>
    <row r="24" spans="2:2">
      <c r="B24">
        <f>POWER(C10,2)</f>
        <v>6033.0949289999999</v>
      </c>
    </row>
    <row r="25" spans="2:2">
      <c r="B25">
        <f>POWER(C11,2)</f>
        <v>148774.51836900003</v>
      </c>
    </row>
    <row r="26" spans="2:2">
      <c r="B26">
        <f>POWER(C12,2)</f>
        <v>115146.88488900002</v>
      </c>
    </row>
    <row r="27" spans="2:2">
      <c r="B27">
        <f>POWER(C13,2)</f>
        <v>6.0123039999999994</v>
      </c>
    </row>
    <row r="28" spans="2:2">
      <c r="B28">
        <f>POWER(B10,2)</f>
        <v>5358.2400000000007</v>
      </c>
    </row>
    <row r="29" spans="2:2">
      <c r="B29">
        <f>POWER(B11,2)</f>
        <v>638667.89388900006</v>
      </c>
    </row>
    <row r="30" spans="2:2">
      <c r="B30">
        <f>POWER(B12,2)</f>
        <v>382343.11892100004</v>
      </c>
    </row>
    <row r="31" spans="2:2">
      <c r="B31">
        <f>POWER(B13,2)</f>
        <v>53.29</v>
      </c>
    </row>
    <row r="32" spans="2:2">
      <c r="B32">
        <f>B24+B28</f>
        <v>11391.334929000001</v>
      </c>
    </row>
    <row r="33" spans="2:2">
      <c r="B33">
        <f>B25+B29</f>
        <v>787442.41225800011</v>
      </c>
    </row>
    <row r="34" spans="2:2">
      <c r="B34">
        <f>B26+B30</f>
        <v>497490.00381000008</v>
      </c>
    </row>
    <row r="35" spans="2:2">
      <c r="B35">
        <f>B27+B31</f>
        <v>59.302303999999999</v>
      </c>
    </row>
    <row r="36" spans="2:2">
      <c r="B36">
        <f>A10*B32</f>
        <v>1025220.14361</v>
      </c>
    </row>
    <row r="37" spans="2:2">
      <c r="B37">
        <f>A11*B33</f>
        <v>222058760.25675604</v>
      </c>
    </row>
    <row r="38" spans="2:2">
      <c r="B38">
        <f>A12*B34</f>
        <v>58703820.449580006</v>
      </c>
    </row>
    <row r="39" spans="2:2">
      <c r="B39">
        <f>A13*B35</f>
        <v>593.02304000000004</v>
      </c>
    </row>
    <row r="40" spans="2:2">
      <c r="B40">
        <f>SUM(B36:B39)</f>
        <v>281788393.87298602</v>
      </c>
    </row>
    <row r="41" spans="2:2">
      <c r="B41">
        <f>B40/B20</f>
        <v>563576.78774597205</v>
      </c>
    </row>
    <row r="44" spans="2:2">
      <c r="B44">
        <f>B41-POWER(B21,2)</f>
        <v>191500.95311361522</v>
      </c>
    </row>
    <row r="46" spans="2:2">
      <c r="B46">
        <f>SQRT(LN(1+B44/POWER(B21,2)))</f>
        <v>0.64436472859093619</v>
      </c>
    </row>
    <row r="49" spans="2:2">
      <c r="B49">
        <f>LN(B21)-POWER(B46,2)/2</f>
        <v>6.2058235327829427</v>
      </c>
    </row>
    <row r="52" spans="2:2">
      <c r="B52">
        <f>EXP(B49+1.64485*B46)</f>
        <v>1430.3963556122046</v>
      </c>
    </row>
    <row r="53" spans="2:2">
      <c r="B53">
        <f>ROUND(B52,2)</f>
        <v>1430.4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spin-lock-500-ngrinder-result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2026-03-29T21:16:03Z</dcterms:created>
  <dcterms:modified xsi:type="dcterms:W3CDTF">2026-03-29T21:18:30Z</dcterms:modified>
</cp:coreProperties>
</file>