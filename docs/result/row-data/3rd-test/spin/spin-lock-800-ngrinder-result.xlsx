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3rd-test/spin/"/>
    </mc:Choice>
  </mc:AlternateContent>
  <xr:revisionPtr revIDLastSave="0" documentId="13_ncr:9_{E952019F-ECF3-F340-93FD-5BE0FEAE490D}" xr6:coauthVersionLast="47" xr6:coauthVersionMax="47" xr10:uidLastSave="{00000000-0000-0000-0000-000000000000}"/>
  <bookViews>
    <workbookView xWindow="14700" yWindow="660" windowWidth="14700" windowHeight="18460" xr2:uid="{247B97AB-8E82-5949-9A3A-76694109A27D}"/>
  </bookViews>
  <sheets>
    <sheet name="spin-lock-800-ngrinder-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B30" i="1"/>
  <c r="B28" i="1"/>
  <c r="B27" i="1"/>
  <c r="B35" i="1" s="1"/>
  <c r="B39" i="1" s="1"/>
  <c r="B18" i="1"/>
  <c r="B17" i="1"/>
  <c r="C13" i="1"/>
  <c r="B13" i="1"/>
  <c r="A13" i="1"/>
  <c r="C12" i="1"/>
  <c r="B26" i="1" s="1"/>
  <c r="B34" i="1" s="1"/>
  <c r="B38" i="1" s="1"/>
  <c r="B12" i="1"/>
  <c r="A12" i="1"/>
  <c r="C11" i="1"/>
  <c r="B25" i="1" s="1"/>
  <c r="B11" i="1"/>
  <c r="B29" i="1" s="1"/>
  <c r="A11" i="1"/>
  <c r="B20" i="1" s="1"/>
  <c r="C10" i="1"/>
  <c r="B24" i="1" s="1"/>
  <c r="B32" i="1" s="1"/>
  <c r="B10" i="1"/>
  <c r="A10" i="1"/>
  <c r="B36" i="1" s="1"/>
  <c r="B33" i="1" l="1"/>
  <c r="B37" i="1"/>
  <c r="B40" i="1" s="1"/>
  <c r="B41" i="1" s="1"/>
  <c r="B44" i="1" s="1"/>
  <c r="B46" i="1" s="1"/>
  <c r="B16" i="1"/>
  <c r="B15" i="1"/>
  <c r="B19" i="1" s="1"/>
  <c r="B21" i="1" s="1"/>
  <c r="B22" i="1" l="1"/>
  <c r="B49" i="1"/>
  <c r="B52" i="1" s="1"/>
  <c r="B53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<sst xmlns="http://schemas.openxmlformats.org/spreadsheetml/2006/main" count="13" uniqueCount="13">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</sst>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5F768F-C08A-4B43-877B-FA7DDA16A332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25F768F-C08A-4B43-877B-FA7DDA16A332}"/>
                </a:ext>
              </a:extLst>
            </xdr:cNvPr>
            <xdr:cNvSpPr txBox="1"/>
          </xdr:nvSpPr>
          <xdr:spPr>
            <a:xfrm>
              <a:off x="0" y="32004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BA0505-7C08-254C-BDCC-57F4287F273A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6BA0505-7C08-254C-BDCC-57F4287F273A}"/>
                </a:ext>
              </a:extLst>
            </xdr:cNvPr>
            <xdr:cNvSpPr txBox="1"/>
          </xdr:nvSpPr>
          <xdr:spPr>
            <a:xfrm>
              <a:off x="0" y="41148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C877D6-D927-5A47-91E5-289AF12FF7B0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AC877D6-D927-5A47-91E5-289AF12FF7B0}"/>
                </a:ext>
              </a:extLst>
            </xdr:cNvPr>
            <xdr:cNvSpPr txBox="1"/>
          </xdr:nvSpPr>
          <xdr:spPr>
            <a:xfrm>
              <a:off x="0" y="43434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1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43262C6-0284-AD43-A0E5-4E89CA8FA96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43262C6-0284-AD43-A0E5-4E89CA8FA968}"/>
                </a:ext>
              </a:extLst>
            </xdr:cNvPr>
            <xdr:cNvSpPr txBox="1"/>
          </xdr:nvSpPr>
          <xdr:spPr>
            <a:xfrm>
              <a:off x="1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8</xdr:row>
      <xdr:rowOff>0</xdr:rowOff>
    </xdr:from>
    <xdr:ext cx="2540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C8879F-7556-7742-A3B4-C6D85E458B7C}"/>
                </a:ext>
              </a:extLst>
            </xdr:cNvPr>
            <xdr:cNvSpPr txBox="1"/>
          </xdr:nvSpPr>
          <xdr:spPr>
            <a:xfrm>
              <a:off x="22098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2C8879F-7556-7742-A3B4-C6D85E458B7C}"/>
                </a:ext>
              </a:extLst>
            </xdr:cNvPr>
            <xdr:cNvSpPr txBox="1"/>
          </xdr:nvSpPr>
          <xdr:spPr>
            <a:xfrm>
              <a:off x="2209800" y="1828800"/>
              <a:ext cx="2540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8</xdr:row>
      <xdr:rowOff>0</xdr:rowOff>
    </xdr:from>
    <xdr:ext cx="177800" cy="3458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FBE4B57-48A3-FE47-A704-777D12BBA35D}"/>
                </a:ext>
              </a:extLst>
            </xdr:cNvPr>
            <xdr:cNvSpPr txBox="1"/>
          </xdr:nvSpPr>
          <xdr:spPr>
            <a:xfrm>
              <a:off x="33401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9FBE4B57-48A3-FE47-A704-777D12BBA35D}"/>
                </a:ext>
              </a:extLst>
            </xdr:cNvPr>
            <xdr:cNvSpPr txBox="1"/>
          </xdr:nvSpPr>
          <xdr:spPr>
            <a:xfrm>
              <a:off x="3340100" y="1828800"/>
              <a:ext cx="177800" cy="345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19</xdr:row>
      <xdr:rowOff>226785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3E5FCD-4DF8-724E-B911-042279ABAE2D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CE3E5FCD-4DF8-724E-B911-042279ABAE2D}"/>
                </a:ext>
              </a:extLst>
            </xdr:cNvPr>
            <xdr:cNvSpPr txBox="1"/>
          </xdr:nvSpPr>
          <xdr:spPr>
            <a:xfrm>
              <a:off x="0" y="4570185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9CFD984-D16B-5E46-AC36-5D38F9F497FA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9CFD984-D16B-5E46-AC36-5D38F9F497FA}"/>
                </a:ext>
              </a:extLst>
            </xdr:cNvPr>
            <xdr:cNvSpPr txBox="1"/>
          </xdr:nvSpPr>
          <xdr:spPr>
            <a:xfrm>
              <a:off x="0" y="52578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226785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5CAC5F-1BE1-AA4D-86E2-E4C58E15B26F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5CAC5F-1BE1-AA4D-86E2-E4C58E15B26F}"/>
                </a:ext>
              </a:extLst>
            </xdr:cNvPr>
            <xdr:cNvSpPr txBox="1"/>
          </xdr:nvSpPr>
          <xdr:spPr>
            <a:xfrm>
              <a:off x="0" y="6170385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4F46B2E-B0E6-404F-BDA1-BDDA3BCE1831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74F46B2E-B0E6-404F-BDA1-BDDA3BCE1831}"/>
                </a:ext>
              </a:extLst>
            </xdr:cNvPr>
            <xdr:cNvSpPr txBox="1"/>
          </xdr:nvSpPr>
          <xdr:spPr>
            <a:xfrm>
              <a:off x="0" y="7086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2C11010-71D3-6546-848B-C8A2F47E70D6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2C11010-71D3-6546-848B-C8A2F47E70D6}"/>
                </a:ext>
              </a:extLst>
            </xdr:cNvPr>
            <xdr:cNvSpPr txBox="1"/>
          </xdr:nvSpPr>
          <xdr:spPr>
            <a:xfrm>
              <a:off x="0" y="80010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39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05DC73B-BE8C-8843-ABB4-BA91551EE594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105DC73B-BE8C-8843-ABB4-BA91551EE594}"/>
                </a:ext>
              </a:extLst>
            </xdr:cNvPr>
            <xdr:cNvSpPr txBox="1"/>
          </xdr:nvSpPr>
          <xdr:spPr>
            <a:xfrm>
              <a:off x="0" y="89154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40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AC6BDA-899A-B943-830E-63118824980C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CAC6BDA-899A-B943-830E-63118824980C}"/>
                </a:ext>
              </a:extLst>
            </xdr:cNvPr>
            <xdr:cNvSpPr txBox="1"/>
          </xdr:nvSpPr>
          <xdr:spPr>
            <a:xfrm>
              <a:off x="0" y="91440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723EF92-DF1C-EA44-93FD-A1A63068AB20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7723EF92-DF1C-EA44-93FD-A1A63068AB20}"/>
                </a:ext>
              </a:extLst>
            </xdr:cNvPr>
            <xdr:cNvSpPr txBox="1"/>
          </xdr:nvSpPr>
          <xdr:spPr>
            <a:xfrm>
              <a:off x="0" y="98298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45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7605950-F2CE-1042-8F3D-29576374B603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D7605950-F2CE-1042-8F3D-29576374B603}"/>
                </a:ext>
              </a:extLst>
            </xdr:cNvPr>
            <xdr:cNvSpPr txBox="1"/>
          </xdr:nvSpPr>
          <xdr:spPr>
            <a:xfrm>
              <a:off x="0" y="102870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48</xdr:row>
      <xdr:rowOff>1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D7D2E3-1547-A540-968C-3E139300D016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0D7D2E3-1547-A540-968C-3E139300D016}"/>
                </a:ext>
              </a:extLst>
            </xdr:cNvPr>
            <xdr:cNvSpPr txBox="1"/>
          </xdr:nvSpPr>
          <xdr:spPr>
            <a:xfrm>
              <a:off x="0" y="10972801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51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6DFD22-7225-B24E-A9F1-CFDE0E3C3592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1E6DFD22-7225-B24E-A9F1-CFDE0E3C3592}"/>
                </a:ext>
              </a:extLst>
            </xdr:cNvPr>
            <xdr:cNvSpPr txBox="1"/>
          </xdr:nvSpPr>
          <xdr:spPr>
            <a:xfrm>
              <a:off x="0" y="116586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265A-07F7-0344-A697-3E0786C68BCF}">
  <dimension ref="A1:M53"/>
  <sheetViews>
    <sheetView tabSelected="1" topLeftCell="A22" workbookViewId="0">
      <selection activeCell="F11" sqref="F11"/>
    </sheetView>
  </sheetViews>
  <sheetFormatPr baseColWidth="10" defaultRowHeight="18"/>
  <cols>
    <col min="1" max="1" width="25.425781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46110.759351851855</v>
      </c>
      <c r="B2">
        <v>707</v>
      </c>
      <c r="C2">
        <v>149</v>
      </c>
      <c r="D2">
        <v>0</v>
      </c>
      <c r="E2">
        <v>537.41600000000005</v>
      </c>
      <c r="F2">
        <v>546.74699999999996</v>
      </c>
      <c r="G2">
        <v>74.5</v>
      </c>
      <c r="H2">
        <v>74</v>
      </c>
      <c r="I2">
        <v>5513</v>
      </c>
      <c r="J2">
        <v>0</v>
      </c>
      <c r="K2">
        <v>0</v>
      </c>
      <c r="L2">
        <v>141.215</v>
      </c>
      <c r="M2">
        <v>182.61099999999999</v>
      </c>
    </row>
    <row r="3" spans="1:13">
      <c r="A3" s="1">
        <v>46110.759375000001</v>
      </c>
      <c r="B3">
        <v>571</v>
      </c>
      <c r="C3">
        <v>149</v>
      </c>
      <c r="D3">
        <v>0</v>
      </c>
      <c r="E3">
        <v>1677.8789999999999</v>
      </c>
      <c r="F3">
        <v>473.91</v>
      </c>
      <c r="G3">
        <v>74.5</v>
      </c>
      <c r="H3">
        <v>133.852</v>
      </c>
      <c r="I3">
        <v>9972</v>
      </c>
      <c r="J3">
        <v>98</v>
      </c>
      <c r="K3">
        <v>0</v>
      </c>
      <c r="L3">
        <v>460.61099999999999</v>
      </c>
      <c r="M3">
        <v>550.12800000000004</v>
      </c>
    </row>
    <row r="4" spans="1:13">
      <c r="A4" s="1">
        <v>46110.759398148148</v>
      </c>
      <c r="B4">
        <v>105</v>
      </c>
      <c r="C4">
        <v>400</v>
      </c>
      <c r="D4">
        <v>0</v>
      </c>
      <c r="E4">
        <v>1257.6199999999999</v>
      </c>
      <c r="F4">
        <v>319.59399999999999</v>
      </c>
      <c r="G4">
        <v>200</v>
      </c>
      <c r="H4">
        <v>165</v>
      </c>
      <c r="I4">
        <v>33000</v>
      </c>
      <c r="J4">
        <v>400</v>
      </c>
      <c r="K4">
        <v>0</v>
      </c>
      <c r="L4">
        <v>308.298</v>
      </c>
      <c r="M4">
        <v>391.73</v>
      </c>
    </row>
    <row r="5" spans="1:13">
      <c r="A5" s="1">
        <v>46110.759421296294</v>
      </c>
      <c r="B5">
        <v>0</v>
      </c>
      <c r="C5">
        <v>102</v>
      </c>
      <c r="D5">
        <v>0</v>
      </c>
      <c r="E5">
        <v>956.57799999999997</v>
      </c>
      <c r="F5">
        <v>223.27600000000001</v>
      </c>
      <c r="G5">
        <v>51</v>
      </c>
      <c r="H5">
        <v>165</v>
      </c>
      <c r="I5">
        <v>8415</v>
      </c>
      <c r="J5">
        <v>102</v>
      </c>
      <c r="K5">
        <v>0</v>
      </c>
      <c r="L5">
        <v>227.88200000000001</v>
      </c>
      <c r="M5">
        <v>294.42200000000003</v>
      </c>
    </row>
    <row r="10" spans="1:13">
      <c r="A10">
        <f>C2</f>
        <v>149</v>
      </c>
      <c r="B10">
        <f t="shared" ref="B10:C13" si="0">E2</f>
        <v>537.41600000000005</v>
      </c>
      <c r="C10">
        <f t="shared" si="0"/>
        <v>546.74699999999996</v>
      </c>
    </row>
    <row r="11" spans="1:13">
      <c r="A11">
        <f>C3</f>
        <v>149</v>
      </c>
      <c r="B11">
        <f t="shared" si="0"/>
        <v>1677.8789999999999</v>
      </c>
      <c r="C11">
        <f t="shared" si="0"/>
        <v>473.91</v>
      </c>
    </row>
    <row r="12" spans="1:13">
      <c r="A12">
        <f>C4</f>
        <v>400</v>
      </c>
      <c r="B12">
        <f t="shared" si="0"/>
        <v>1257.6199999999999</v>
      </c>
      <c r="C12">
        <f t="shared" si="0"/>
        <v>319.59399999999999</v>
      </c>
    </row>
    <row r="13" spans="1:13">
      <c r="A13">
        <f>C5</f>
        <v>102</v>
      </c>
      <c r="B13">
        <f t="shared" si="0"/>
        <v>956.57799999999997</v>
      </c>
      <c r="C13">
        <f t="shared" si="0"/>
        <v>223.27600000000001</v>
      </c>
    </row>
    <row r="15" spans="1:13">
      <c r="B15">
        <f>A10*B10</f>
        <v>80074.984000000011</v>
      </c>
    </row>
    <row r="16" spans="1:13">
      <c r="B16">
        <f>A11*B11</f>
        <v>250003.97099999999</v>
      </c>
    </row>
    <row r="17" spans="2:2">
      <c r="B17">
        <f>A12*B12</f>
        <v>503047.99999999994</v>
      </c>
    </row>
    <row r="18" spans="2:2">
      <c r="B18">
        <f>A13*B13</f>
        <v>97570.955999999991</v>
      </c>
    </row>
    <row r="19" spans="2:2">
      <c r="B19">
        <f>SUM(B15:B18)</f>
        <v>930697.91099999996</v>
      </c>
    </row>
    <row r="20" spans="2:2">
      <c r="B20">
        <f>SUM(A10:A13)</f>
        <v>800</v>
      </c>
    </row>
    <row r="21" spans="2:2">
      <c r="B21">
        <f>B19/B20</f>
        <v>1163.37238875</v>
      </c>
    </row>
    <row r="22" spans="2:2">
      <c r="B22">
        <f>ROUND(B21,2)</f>
        <v>1163.3699999999999</v>
      </c>
    </row>
    <row r="24" spans="2:2">
      <c r="B24">
        <f>POWER(C10,2)</f>
        <v>298932.28200899996</v>
      </c>
    </row>
    <row r="25" spans="2:2">
      <c r="B25">
        <f>POWER(C11,2)</f>
        <v>224590.68810000003</v>
      </c>
    </row>
    <row r="26" spans="2:2">
      <c r="B26">
        <f>POWER(C12,2)</f>
        <v>102140.324836</v>
      </c>
    </row>
    <row r="27" spans="2:2">
      <c r="B27">
        <f>POWER(C13,2)</f>
        <v>49852.172176000007</v>
      </c>
    </row>
    <row r="28" spans="2:2">
      <c r="B28">
        <f>POWER(B10,2)</f>
        <v>288815.95705600007</v>
      </c>
    </row>
    <row r="29" spans="2:2">
      <c r="B29">
        <f>POWER(B11,2)</f>
        <v>2815277.9386409996</v>
      </c>
    </row>
    <row r="30" spans="2:2">
      <c r="B30">
        <f>POWER(B12,2)</f>
        <v>1581608.0643999998</v>
      </c>
    </row>
    <row r="31" spans="2:2">
      <c r="B31">
        <f>POWER(B13,2)</f>
        <v>915041.47008399991</v>
      </c>
    </row>
    <row r="32" spans="2:2">
      <c r="B32">
        <f>B24+B28</f>
        <v>587748.23906500009</v>
      </c>
    </row>
    <row r="33" spans="2:2">
      <c r="B33">
        <f>B25+B29</f>
        <v>3039868.6267409995</v>
      </c>
    </row>
    <row r="34" spans="2:2">
      <c r="B34">
        <f>B26+B30</f>
        <v>1683748.3892359999</v>
      </c>
    </row>
    <row r="35" spans="2:2">
      <c r="B35">
        <f>B27+B31</f>
        <v>964893.64225999988</v>
      </c>
    </row>
    <row r="36" spans="2:2">
      <c r="B36">
        <f>A10*B32</f>
        <v>87574487.620685011</v>
      </c>
    </row>
    <row r="37" spans="2:2">
      <c r="B37">
        <f>A11*B33</f>
        <v>452940425.38440895</v>
      </c>
    </row>
    <row r="38" spans="2:2">
      <c r="B38">
        <f>A12*B34</f>
        <v>673499355.69439995</v>
      </c>
    </row>
    <row r="39" spans="2:2">
      <c r="B39">
        <f>A13*B35</f>
        <v>98419151.510519981</v>
      </c>
    </row>
    <row r="40" spans="2:2">
      <c r="B40">
        <f>SUM(B36:B39)</f>
        <v>1312433420.2100139</v>
      </c>
    </row>
    <row r="41" spans="2:2">
      <c r="B41">
        <f>B40/B20</f>
        <v>1640541.7752625174</v>
      </c>
    </row>
    <row r="44" spans="2:2">
      <c r="B44">
        <f>B41-POWER(B21,2)</f>
        <v>287106.46035663621</v>
      </c>
    </row>
    <row r="46" spans="2:2">
      <c r="B46">
        <f>SQRT(LN(1+B44/POWER(B21,2)))</f>
        <v>0.43861201545776951</v>
      </c>
    </row>
    <row r="49" spans="2:2">
      <c r="B49">
        <f>LN(B21)-POWER(B46,2)/2</f>
        <v>6.9628880479042774</v>
      </c>
    </row>
    <row r="52" spans="2:2">
      <c r="B52">
        <f>EXP(B49+1.64485*B46)</f>
        <v>2174.0325099104411</v>
      </c>
    </row>
    <row r="53" spans="2:2">
      <c r="B53">
        <f>ROUND(B52,2)</f>
        <v>2174.0300000000002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spin-lock-800-ngrinder-result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2026-03-29T21:17:26Z</dcterms:created>
  <dcterms:modified xsi:type="dcterms:W3CDTF">2026-03-29T21:19:06Z</dcterms:modified>
</cp:coreProperties>
</file>