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3rd-test/pessimistic/"/>
    </mc:Choice>
  </mc:AlternateContent>
  <xr:revisionPtr revIDLastSave="0" documentId="13_ncr:1_{E6FAE090-D750-044C-8B8A-0FF7731A7E9C}" xr6:coauthVersionLast="47" xr6:coauthVersionMax="47" xr10:uidLastSave="{00000000-0000-0000-0000-000000000000}"/>
  <bookViews>
    <workbookView xWindow="14700" yWindow="660" windowWidth="14700" windowHeight="18460" xr2:uid="{9E9157CD-8F9C-A94B-81A0-86877F03A130}"/>
  </bookViews>
  <sheets>
    <sheet name="pessimistic-lock-800-ngrinder-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47" i="1" s="1"/>
  <c r="B53" i="1" s="1"/>
  <c r="B34" i="1"/>
  <c r="B32" i="1"/>
  <c r="B31" i="1"/>
  <c r="B43" i="1" s="1"/>
  <c r="B24" i="1"/>
  <c r="B23" i="1"/>
  <c r="B21" i="1"/>
  <c r="B20" i="1"/>
  <c r="C17" i="1"/>
  <c r="B17" i="1"/>
  <c r="A17" i="1"/>
  <c r="C16" i="1"/>
  <c r="B16" i="1"/>
  <c r="B40" i="1" s="1"/>
  <c r="A16" i="1"/>
  <c r="C15" i="1"/>
  <c r="B33" i="1" s="1"/>
  <c r="B15" i="1"/>
  <c r="B39" i="1" s="1"/>
  <c r="A15" i="1"/>
  <c r="B22" i="1" s="1"/>
  <c r="C14" i="1"/>
  <c r="B14" i="1"/>
  <c r="B38" i="1" s="1"/>
  <c r="A14" i="1"/>
  <c r="C13" i="1"/>
  <c r="B13" i="1"/>
  <c r="B37" i="1" s="1"/>
  <c r="A13" i="1"/>
  <c r="C12" i="1"/>
  <c r="B30" i="1" s="1"/>
  <c r="B12" i="1"/>
  <c r="B36" i="1" s="1"/>
  <c r="A12" i="1"/>
  <c r="B19" i="1" s="1"/>
  <c r="B42" i="1" l="1"/>
  <c r="B46" i="1"/>
  <c r="B52" i="1" s="1"/>
  <c r="B49" i="1"/>
  <c r="B25" i="1"/>
  <c r="B45" i="1"/>
  <c r="B44" i="1"/>
  <c r="B50" i="1"/>
  <c r="B51" i="1"/>
  <c r="B48" i="1"/>
  <c r="B54" i="1" s="1"/>
  <c r="B26" i="1"/>
  <c r="B55" i="1" l="1"/>
  <c r="B27" i="1"/>
  <c r="B28" i="1" l="1"/>
  <c r="B58" i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<sst xmlns="http://schemas.openxmlformats.org/spreadsheetml/2006/main" count="13" uniqueCount="13">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</sst>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94B5A19-EBD5-864E-8442-C9476AC20B10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94B5A19-EBD5-864E-8442-C9476AC20B10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EFE11C4-6A2C-3746-9FFB-389A347DEAE6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EFE11C4-6A2C-3746-9FFB-389A347DEAE6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583E808-45F6-2F4A-8CED-8A20CD5C9CC9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583E808-45F6-2F4A-8CED-8A20CD5C9CC9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0880A72-6E17-D344-B4EF-E34DF8A3B05E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0880A72-6E17-D344-B4EF-E34DF8A3B05E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683B4B5-3B21-1F42-B0EB-6DEAB725EE1E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683B4B5-3B21-1F42-B0EB-6DEAB725EE1E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E9064A53-1A3A-C644-8E2D-D4B8F9BC62AE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E9064A53-1A3A-C644-8E2D-D4B8F9BC62AE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5DF8705-22AC-1F42-9974-BE9F52C409D8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5DF8705-22AC-1F42-9974-BE9F52C409D8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16A88A1-A562-0744-8DE1-38C7C2377621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16A88A1-A562-0744-8DE1-38C7C2377621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C3AECA9-89AC-5D42-BC27-0D91355F5DC5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C3AECA9-89AC-5D42-BC27-0D91355F5DC5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F26E31D-BFEE-444B-9F4E-9F5F3C76A344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F26E31D-BFEE-444B-9F4E-9F5F3C76A344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3461458-7AED-9F4B-9748-3F2788A2F3E1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3461458-7AED-9F4B-9748-3F2788A2F3E1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D196C2A-33C5-9740-980F-C7205B655DA5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D196C2A-33C5-9740-980F-C7205B655DA5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FDB66F2-947A-AF4D-B88A-96FBA057B0E7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FDB66F2-947A-AF4D-B88A-96FBA057B0E7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B82BEC2-E65F-8E47-92AC-0A6389075C23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B82BEC2-E65F-8E47-92AC-0A6389075C23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50F4F65-1257-224D-9E96-431FE8478E0C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50F4F65-1257-224D-9E96-431FE8478E0C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3A0D4A-9879-5349-9DC9-D90E58892B1F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3A0D4A-9879-5349-9DC9-D90E58892B1F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BF72853-4A19-3D46-AED5-A477EDAEF055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BF72853-4A19-3D46-AED5-A477EDAEF055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AFB7-BAD0-8843-A13D-2E77E2889E34}">
  <dimension ref="A1:M67"/>
  <sheetViews>
    <sheetView tabSelected="1" workbookViewId="0">
      <selection activeCell="C68" sqref="A10:C68"/>
    </sheetView>
  </sheetViews>
  <sheetFormatPr baseColWidth="10" defaultRowHeight="18"/>
  <cols>
    <col min="1" max="1" width="25" customWidth="1"/>
    <col min="2" max="2" width="11.7109375" bestFit="1" customWidth="1"/>
    <col min="3" max="3" width="5.4257812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46110.738506944443</v>
      </c>
      <c r="B2">
        <v>705</v>
      </c>
      <c r="C2">
        <v>187</v>
      </c>
      <c r="D2">
        <v>0</v>
      </c>
      <c r="E2">
        <v>820.92499999999995</v>
      </c>
      <c r="F2">
        <v>340.697</v>
      </c>
      <c r="G2">
        <v>93.5</v>
      </c>
      <c r="H2">
        <v>81</v>
      </c>
      <c r="I2">
        <v>7573.5</v>
      </c>
      <c r="J2">
        <v>0</v>
      </c>
      <c r="K2">
        <v>0</v>
      </c>
      <c r="L2">
        <v>217.21899999999999</v>
      </c>
      <c r="M2">
        <v>286.54500000000002</v>
      </c>
    </row>
    <row r="3" spans="1:13">
      <c r="A3" s="1">
        <v>46110.738530092596</v>
      </c>
      <c r="B3">
        <v>600</v>
      </c>
      <c r="C3">
        <v>13</v>
      </c>
      <c r="D3">
        <v>0</v>
      </c>
      <c r="E3">
        <v>241.61500000000001</v>
      </c>
      <c r="F3">
        <v>259.38200000000001</v>
      </c>
      <c r="G3">
        <v>6.5</v>
      </c>
      <c r="H3">
        <v>81</v>
      </c>
      <c r="I3">
        <v>526.5</v>
      </c>
      <c r="J3">
        <v>0</v>
      </c>
      <c r="K3">
        <v>0</v>
      </c>
      <c r="L3">
        <v>101.077</v>
      </c>
      <c r="M3">
        <v>136.69200000000001</v>
      </c>
    </row>
    <row r="4" spans="1:13">
      <c r="A4" s="1">
        <v>46110.738553240742</v>
      </c>
      <c r="B4">
        <v>330</v>
      </c>
      <c r="C4">
        <v>386</v>
      </c>
      <c r="D4">
        <v>0</v>
      </c>
      <c r="E4">
        <v>1183.296</v>
      </c>
      <c r="F4">
        <v>484.72800000000001</v>
      </c>
      <c r="G4">
        <v>192.5</v>
      </c>
      <c r="H4">
        <v>165</v>
      </c>
      <c r="I4">
        <v>31762.5</v>
      </c>
      <c r="J4">
        <v>385</v>
      </c>
      <c r="K4">
        <v>0</v>
      </c>
      <c r="L4">
        <v>305.24400000000003</v>
      </c>
      <c r="M4">
        <v>404.76900000000001</v>
      </c>
    </row>
    <row r="5" spans="1:13">
      <c r="A5" s="1">
        <v>46110.738576388889</v>
      </c>
      <c r="B5">
        <v>3</v>
      </c>
      <c r="C5">
        <v>211</v>
      </c>
      <c r="D5">
        <v>0</v>
      </c>
      <c r="E5">
        <v>992.31799999999998</v>
      </c>
      <c r="F5">
        <v>302.40199999999999</v>
      </c>
      <c r="G5">
        <v>105.5</v>
      </c>
      <c r="H5">
        <v>165</v>
      </c>
      <c r="I5">
        <v>17407.5</v>
      </c>
      <c r="J5">
        <v>211</v>
      </c>
      <c r="K5">
        <v>0</v>
      </c>
      <c r="L5">
        <v>323.04300000000001</v>
      </c>
      <c r="M5">
        <v>392.697</v>
      </c>
    </row>
    <row r="6" spans="1:13">
      <c r="A6" s="1">
        <v>46110.738599537035</v>
      </c>
      <c r="B6">
        <v>1</v>
      </c>
      <c r="C6">
        <v>2</v>
      </c>
      <c r="D6">
        <v>0</v>
      </c>
      <c r="E6">
        <v>10.5</v>
      </c>
      <c r="F6">
        <v>0.5</v>
      </c>
      <c r="G6">
        <v>1</v>
      </c>
      <c r="H6">
        <v>165</v>
      </c>
      <c r="I6">
        <v>165</v>
      </c>
      <c r="J6">
        <v>2</v>
      </c>
      <c r="K6">
        <v>0</v>
      </c>
      <c r="L6">
        <v>3.5</v>
      </c>
      <c r="M6">
        <v>5</v>
      </c>
    </row>
    <row r="7" spans="1:13">
      <c r="A7" s="1">
        <v>46110.738622685189</v>
      </c>
      <c r="B7">
        <v>0</v>
      </c>
      <c r="C7">
        <v>1</v>
      </c>
      <c r="D7">
        <v>0</v>
      </c>
      <c r="E7">
        <v>13</v>
      </c>
      <c r="F7">
        <v>0</v>
      </c>
      <c r="G7">
        <v>0.5</v>
      </c>
      <c r="H7">
        <v>165</v>
      </c>
      <c r="I7">
        <v>82.5</v>
      </c>
      <c r="J7">
        <v>1</v>
      </c>
      <c r="K7">
        <v>0</v>
      </c>
      <c r="L7">
        <v>5</v>
      </c>
      <c r="M7">
        <v>7</v>
      </c>
    </row>
    <row r="12" spans="1:13">
      <c r="A12">
        <f>C2</f>
        <v>187</v>
      </c>
      <c r="B12">
        <f>E2</f>
        <v>820.92499999999995</v>
      </c>
      <c r="C12">
        <f>F2</f>
        <v>340.697</v>
      </c>
    </row>
    <row r="13" spans="1:13">
      <c r="A13">
        <f>C3</f>
        <v>13</v>
      </c>
      <c r="B13">
        <f>E3</f>
        <v>241.61500000000001</v>
      </c>
      <c r="C13">
        <f>F3</f>
        <v>259.38200000000001</v>
      </c>
    </row>
    <row r="14" spans="1:13">
      <c r="A14">
        <f>C4</f>
        <v>386</v>
      </c>
      <c r="B14">
        <f>E4</f>
        <v>1183.296</v>
      </c>
      <c r="C14">
        <f>F4</f>
        <v>484.72800000000001</v>
      </c>
    </row>
    <row r="15" spans="1:13">
      <c r="A15">
        <f>C5</f>
        <v>211</v>
      </c>
      <c r="B15">
        <f>E5</f>
        <v>992.31799999999998</v>
      </c>
      <c r="C15">
        <f>F5</f>
        <v>302.40199999999999</v>
      </c>
    </row>
    <row r="16" spans="1:13">
      <c r="A16">
        <f>C6</f>
        <v>2</v>
      </c>
      <c r="B16">
        <f>E6</f>
        <v>10.5</v>
      </c>
      <c r="C16">
        <f>F6</f>
        <v>0.5</v>
      </c>
    </row>
    <row r="17" spans="1:3">
      <c r="A17">
        <f>C7</f>
        <v>1</v>
      </c>
      <c r="B17">
        <f>E7</f>
        <v>13</v>
      </c>
      <c r="C17">
        <f>F7</f>
        <v>0</v>
      </c>
    </row>
    <row r="19" spans="1:3">
      <c r="B19">
        <f t="shared" ref="B19:B24" si="0">A12*B12</f>
        <v>153512.97500000001</v>
      </c>
    </row>
    <row r="20" spans="1:3">
      <c r="B20">
        <f t="shared" si="0"/>
        <v>3140.9949999999999</v>
      </c>
    </row>
    <row r="21" spans="1:3">
      <c r="B21">
        <f t="shared" si="0"/>
        <v>456752.25599999999</v>
      </c>
    </row>
    <row r="22" spans="1:3">
      <c r="B22">
        <f t="shared" si="0"/>
        <v>209379.098</v>
      </c>
    </row>
    <row r="23" spans="1:3">
      <c r="B23">
        <f t="shared" si="0"/>
        <v>21</v>
      </c>
    </row>
    <row r="24" spans="1:3">
      <c r="B24">
        <f t="shared" si="0"/>
        <v>13</v>
      </c>
    </row>
    <row r="25" spans="1:3">
      <c r="B25">
        <f>SUM(B19:B24)</f>
        <v>822819.32400000002</v>
      </c>
    </row>
    <row r="26" spans="1:3">
      <c r="B26">
        <f>SUM(A12:A17)</f>
        <v>800</v>
      </c>
    </row>
    <row r="27" spans="1:3">
      <c r="B27">
        <f>B25/B26</f>
        <v>1028.5241550000001</v>
      </c>
    </row>
    <row r="28" spans="1:3">
      <c r="B28">
        <f>ROUND(B27,2)</f>
        <v>1028.52</v>
      </c>
    </row>
    <row r="30" spans="1:3">
      <c r="B30">
        <f t="shared" ref="B30:B35" si="1">POWER(C12,2)</f>
        <v>116074.445809</v>
      </c>
    </row>
    <row r="31" spans="1:3">
      <c r="B31">
        <f t="shared" si="1"/>
        <v>67279.021924000001</v>
      </c>
    </row>
    <row r="32" spans="1:3">
      <c r="B32">
        <f t="shared" si="1"/>
        <v>234961.23398400002</v>
      </c>
    </row>
    <row r="33" spans="2:2">
      <c r="B33">
        <f t="shared" si="1"/>
        <v>91446.969603999998</v>
      </c>
    </row>
    <row r="34" spans="2:2">
      <c r="B34">
        <f t="shared" si="1"/>
        <v>0.25</v>
      </c>
    </row>
    <row r="35" spans="2:2">
      <c r="B35">
        <f t="shared" si="1"/>
        <v>0</v>
      </c>
    </row>
    <row r="36" spans="2:2">
      <c r="B36">
        <f t="shared" ref="B36:B41" si="2">POWER(B12,2)</f>
        <v>673917.85562499997</v>
      </c>
    </row>
    <row r="37" spans="2:2">
      <c r="B37">
        <f t="shared" si="2"/>
        <v>58377.808225000008</v>
      </c>
    </row>
    <row r="38" spans="2:2">
      <c r="B38">
        <f t="shared" si="2"/>
        <v>1400189.4236160002</v>
      </c>
    </row>
    <row r="39" spans="2:2">
      <c r="B39">
        <f t="shared" si="2"/>
        <v>984695.01312399993</v>
      </c>
    </row>
    <row r="40" spans="2:2">
      <c r="B40">
        <f t="shared" si="2"/>
        <v>110.25</v>
      </c>
    </row>
    <row r="41" spans="2:2">
      <c r="B41">
        <f t="shared" si="2"/>
        <v>169</v>
      </c>
    </row>
    <row r="42" spans="2:2">
      <c r="B42">
        <f t="shared" ref="B42:B47" si="3">B30+B36</f>
        <v>789992.30143400002</v>
      </c>
    </row>
    <row r="43" spans="2:2">
      <c r="B43">
        <f t="shared" si="3"/>
        <v>125656.83014900002</v>
      </c>
    </row>
    <row r="44" spans="2:2">
      <c r="B44">
        <f t="shared" si="3"/>
        <v>1635150.6576000003</v>
      </c>
    </row>
    <row r="45" spans="2:2">
      <c r="B45">
        <f t="shared" si="3"/>
        <v>1076141.982728</v>
      </c>
    </row>
    <row r="46" spans="2:2">
      <c r="B46">
        <f t="shared" si="3"/>
        <v>110.5</v>
      </c>
    </row>
    <row r="47" spans="2:2">
      <c r="B47">
        <f t="shared" si="3"/>
        <v>169</v>
      </c>
    </row>
    <row r="48" spans="2:2">
      <c r="B48">
        <f t="shared" ref="B48:B53" si="4">A12*B42</f>
        <v>147728560.36815801</v>
      </c>
    </row>
    <row r="49" spans="2:2">
      <c r="B49">
        <f t="shared" si="4"/>
        <v>1633538.7919370001</v>
      </c>
    </row>
    <row r="50" spans="2:2">
      <c r="B50">
        <f t="shared" si="4"/>
        <v>631168153.83360004</v>
      </c>
    </row>
    <row r="51" spans="2:2">
      <c r="B51">
        <f t="shared" si="4"/>
        <v>227065958.35560802</v>
      </c>
    </row>
    <row r="52" spans="2:2">
      <c r="B52">
        <f t="shared" si="4"/>
        <v>221</v>
      </c>
    </row>
    <row r="53" spans="2:2">
      <c r="B53">
        <f t="shared" si="4"/>
        <v>169</v>
      </c>
    </row>
    <row r="54" spans="2:2">
      <c r="B54">
        <f>SUM(B48:B53)</f>
        <v>1007596601.349303</v>
      </c>
    </row>
    <row r="55" spans="2:2">
      <c r="B55">
        <f>B54/B26</f>
        <v>1259495.7516866287</v>
      </c>
    </row>
    <row r="58" spans="2:2">
      <c r="B58">
        <f>B55-POWER(B27,2)</f>
        <v>201633.81426816457</v>
      </c>
    </row>
    <row r="60" spans="2:2">
      <c r="B60">
        <f>SQRT(LN(1+B58/POWER(B27,2)))</f>
        <v>0.4176860217931973</v>
      </c>
    </row>
    <row r="63" spans="2:2">
      <c r="B63">
        <f>LN(B27)-POWER(B60,2)/2</f>
        <v>6.8486493880752413</v>
      </c>
    </row>
    <row r="66" spans="2:2">
      <c r="B66">
        <f>EXP(B63+1.64485*B60)</f>
        <v>1873.7185055345062</v>
      </c>
    </row>
    <row r="67" spans="2:2">
      <c r="B67">
        <f>ROUND(B66,2)</f>
        <v>1873.72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pessimistic-lock-800-ngrinder-r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2026-03-29T19:42:00Z</dcterms:created>
  <dcterms:modified xsi:type="dcterms:W3CDTF">2026-03-29T20:41:39Z</dcterms:modified>
</cp:coreProperties>
</file>