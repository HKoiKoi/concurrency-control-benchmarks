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pessimistic/"/>
    </mc:Choice>
  </mc:AlternateContent>
  <xr:revisionPtr revIDLastSave="0" documentId="13_ncr:1_{419856E2-8CE0-4F44-87ED-F1A10185F71B}" xr6:coauthVersionLast="47" xr6:coauthVersionMax="47" xr10:uidLastSave="{00000000-0000-0000-0000-000000000000}"/>
  <bookViews>
    <workbookView xWindow="14700" yWindow="660" windowWidth="14700" windowHeight="18460" xr2:uid="{2734A38C-4AD0-984C-AD7B-3659CDCE58CD}"/>
  </bookViews>
  <sheets>
    <sheet name="pessimistic-lock-1000-ngrinder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s="1"/>
  <c r="B42" i="1" l="1"/>
  <c r="B27" i="1"/>
  <c r="B45" i="1"/>
  <c r="B44" i="1"/>
  <c r="B50" i="1" s="1"/>
  <c r="B49" i="1"/>
  <c r="B46" i="1"/>
  <c r="B52" i="1"/>
  <c r="B51" i="1"/>
  <c r="B48" i="1"/>
  <c r="B26" i="1"/>
  <c r="B28" i="1" l="1"/>
  <c r="B54" i="1"/>
  <c r="B55" i="1" s="1"/>
  <c r="B58" i="1" s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<sst xmlns="http://schemas.openxmlformats.org/spreadsheetml/2006/main" count="13" uniqueCount="13">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</sst>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9E5B7A2-E7A7-E549-B937-D42BB89D14F5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9E5B7A2-E7A7-E549-B937-D42BB89D14F5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163EFB8-2BBC-3D46-BF7B-1D4BA14E0B20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163EFB8-2BBC-3D46-BF7B-1D4BA14E0B20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47A635F-BE05-ED40-8255-8F73D8A7D64B}"/>
                </a:ext>
              </a:extLst>
            </xdr:cNvPr>
            <xdr:cNvSpPr txBox="1"/>
          </xdr:nvSpPr>
          <xdr:spPr>
            <a:xfrm>
              <a:off x="32639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47A635F-BE05-ED40-8255-8F73D8A7D64B}"/>
                </a:ext>
              </a:extLst>
            </xdr:cNvPr>
            <xdr:cNvSpPr txBox="1"/>
          </xdr:nvSpPr>
          <xdr:spPr>
            <a:xfrm>
              <a:off x="32639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F4F1AC9-844B-2C4A-8BF9-0E1D6340CACB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F4F1AC9-844B-2C4A-8BF9-0E1D6340CACB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D3508A5-892B-B143-A52F-436966D1A2C3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D3508A5-892B-B143-A52F-436966D1A2C3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6637437E-E504-7D4F-993D-77D36A1BE459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6637437E-E504-7D4F-993D-77D36A1BE459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3FC6B01-5813-7C48-8BB9-941314E436CE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3FC6B01-5813-7C48-8BB9-941314E436CE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B16E9EB-747E-3C4F-A057-53140F2F8AED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B16E9EB-747E-3C4F-A057-53140F2F8AED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E8A7197-E6EA-B04E-AEDE-D309FEFDFDC7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E8A7197-E6EA-B04E-AEDE-D309FEFDFDC7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4CBE08F-300C-044B-BF50-A47687A6011D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4CBE08F-300C-044B-BF50-A47687A6011D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B847B91-0EE5-984B-B322-F59D4A7C1EE3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B847B91-0EE5-984B-B322-F59D4A7C1EE3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E89583D-3141-BD43-B6A8-7CDF883F8C76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E89583D-3141-BD43-B6A8-7CDF883F8C76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1132453-B352-474A-A62A-653BA127AED3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1132453-B352-474A-A62A-653BA127AED3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B19283E-F988-704E-8EED-0FFBC8069DF1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B19283E-F988-704E-8EED-0FFBC8069DF1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FC22121-366D-BD44-8CC9-4FE1569045B0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FC22121-366D-BD44-8CC9-4FE1569045B0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7C0B52B-88CD-6444-B1AD-B840C8C20694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7C0B52B-88CD-6444-B1AD-B840C8C20694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E675EC7-69B9-1A4E-93AF-1170E58A4A82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E675EC7-69B9-1A4E-93AF-1170E58A4A82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35FC-6F52-054F-B81F-40581F49A8E6}">
  <dimension ref="A1:M67"/>
  <sheetViews>
    <sheetView tabSelected="1" topLeftCell="A40" workbookViewId="0">
      <selection activeCell="E61" sqref="E61"/>
    </sheetView>
  </sheetViews>
  <sheetFormatPr baseColWidth="10" defaultRowHeight="18"/>
  <cols>
    <col min="1" max="1" width="24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46110.745439814818</v>
      </c>
      <c r="B2">
        <v>961</v>
      </c>
      <c r="C2">
        <v>265</v>
      </c>
      <c r="D2">
        <v>0</v>
      </c>
      <c r="E2">
        <v>1004.151</v>
      </c>
      <c r="F2">
        <v>782.74300000000005</v>
      </c>
      <c r="G2">
        <v>132.5</v>
      </c>
      <c r="H2">
        <v>101.604</v>
      </c>
      <c r="I2">
        <v>13462.5</v>
      </c>
      <c r="J2">
        <v>65</v>
      </c>
      <c r="K2">
        <v>0</v>
      </c>
      <c r="L2">
        <v>245.66</v>
      </c>
      <c r="M2">
        <v>359.36599999999999</v>
      </c>
    </row>
    <row r="3" spans="1:13">
      <c r="A3" s="1">
        <v>46110.745462962965</v>
      </c>
      <c r="B3">
        <v>706</v>
      </c>
      <c r="C3">
        <v>31</v>
      </c>
      <c r="D3">
        <v>0</v>
      </c>
      <c r="E3">
        <v>7.3869999999999996</v>
      </c>
      <c r="F3">
        <v>2.1800000000000002</v>
      </c>
      <c r="G3">
        <v>15.5</v>
      </c>
      <c r="H3">
        <v>165</v>
      </c>
      <c r="I3">
        <v>2557.5</v>
      </c>
      <c r="J3">
        <v>31</v>
      </c>
      <c r="K3">
        <v>0</v>
      </c>
      <c r="L3">
        <v>1.903</v>
      </c>
      <c r="M3">
        <v>3.161</v>
      </c>
    </row>
    <row r="4" spans="1:13">
      <c r="A4" s="1">
        <v>46110.745486111111</v>
      </c>
      <c r="B4">
        <v>507</v>
      </c>
      <c r="C4">
        <v>301</v>
      </c>
      <c r="D4">
        <v>0</v>
      </c>
      <c r="E4">
        <v>1024.605</v>
      </c>
      <c r="F4">
        <v>410.38</v>
      </c>
      <c r="G4">
        <v>150.5</v>
      </c>
      <c r="H4">
        <v>165</v>
      </c>
      <c r="I4">
        <v>24832.5</v>
      </c>
      <c r="J4">
        <v>301</v>
      </c>
      <c r="K4">
        <v>0</v>
      </c>
      <c r="L4">
        <v>301.15899999999999</v>
      </c>
      <c r="M4">
        <v>419.75099999999998</v>
      </c>
    </row>
    <row r="5" spans="1:13">
      <c r="A5" s="1">
        <v>46110.745509259257</v>
      </c>
      <c r="B5">
        <v>104</v>
      </c>
      <c r="C5">
        <v>299</v>
      </c>
      <c r="D5">
        <v>0</v>
      </c>
      <c r="E5">
        <v>1370.645</v>
      </c>
      <c r="F5">
        <v>397.92399999999998</v>
      </c>
      <c r="G5">
        <v>149.5</v>
      </c>
      <c r="H5">
        <v>165</v>
      </c>
      <c r="I5">
        <v>24667.5</v>
      </c>
      <c r="J5">
        <v>299</v>
      </c>
      <c r="K5">
        <v>0</v>
      </c>
      <c r="L5">
        <v>353.95699999999999</v>
      </c>
      <c r="M5">
        <v>474.43799999999999</v>
      </c>
    </row>
    <row r="6" spans="1:13">
      <c r="A6" s="1">
        <v>46110.745532407411</v>
      </c>
      <c r="B6">
        <v>4</v>
      </c>
      <c r="C6">
        <v>100</v>
      </c>
      <c r="D6">
        <v>0</v>
      </c>
      <c r="E6">
        <v>846.1</v>
      </c>
      <c r="F6">
        <v>225.06800000000001</v>
      </c>
      <c r="G6">
        <v>50</v>
      </c>
      <c r="H6">
        <v>165</v>
      </c>
      <c r="I6">
        <v>8250</v>
      </c>
      <c r="J6">
        <v>100</v>
      </c>
      <c r="K6">
        <v>0</v>
      </c>
      <c r="L6">
        <v>198.03</v>
      </c>
      <c r="M6">
        <v>258.01</v>
      </c>
    </row>
    <row r="7" spans="1:13">
      <c r="A7" s="1">
        <v>46110.745555555557</v>
      </c>
      <c r="B7">
        <v>0</v>
      </c>
      <c r="C7">
        <v>4</v>
      </c>
      <c r="D7">
        <v>0</v>
      </c>
      <c r="E7">
        <v>11.25</v>
      </c>
      <c r="F7">
        <v>1.7849999999999999</v>
      </c>
      <c r="G7">
        <v>2</v>
      </c>
      <c r="H7">
        <v>165</v>
      </c>
      <c r="I7">
        <v>330</v>
      </c>
      <c r="J7">
        <v>4</v>
      </c>
      <c r="K7">
        <v>0</v>
      </c>
      <c r="L7">
        <v>3.75</v>
      </c>
      <c r="M7">
        <v>5</v>
      </c>
    </row>
    <row r="12" spans="1:13">
      <c r="A12">
        <f>C2</f>
        <v>265</v>
      </c>
      <c r="B12">
        <f>E2</f>
        <v>1004.151</v>
      </c>
      <c r="C12">
        <f>F2</f>
        <v>782.74300000000005</v>
      </c>
    </row>
    <row r="13" spans="1:13">
      <c r="A13">
        <f>C3</f>
        <v>31</v>
      </c>
      <c r="B13">
        <f>E3</f>
        <v>7.3869999999999996</v>
      </c>
      <c r="C13">
        <f>F3</f>
        <v>2.1800000000000002</v>
      </c>
    </row>
    <row r="14" spans="1:13">
      <c r="A14">
        <f>C4</f>
        <v>301</v>
      </c>
      <c r="B14">
        <f>E4</f>
        <v>1024.605</v>
      </c>
      <c r="C14">
        <f>F4</f>
        <v>410.38</v>
      </c>
    </row>
    <row r="15" spans="1:13">
      <c r="A15">
        <f>C5</f>
        <v>299</v>
      </c>
      <c r="B15">
        <f>E5</f>
        <v>1370.645</v>
      </c>
      <c r="C15">
        <f>F5</f>
        <v>397.92399999999998</v>
      </c>
    </row>
    <row r="16" spans="1:13">
      <c r="A16">
        <f>C6</f>
        <v>100</v>
      </c>
      <c r="B16">
        <f>E6</f>
        <v>846.1</v>
      </c>
      <c r="C16">
        <f>F6</f>
        <v>225.06800000000001</v>
      </c>
    </row>
    <row r="17" spans="1:3">
      <c r="A17">
        <f>C7</f>
        <v>4</v>
      </c>
      <c r="B17">
        <f>E7</f>
        <v>11.25</v>
      </c>
      <c r="C17">
        <f>F7</f>
        <v>1.7849999999999999</v>
      </c>
    </row>
    <row r="19" spans="1:3">
      <c r="B19">
        <f t="shared" ref="B19:B24" si="0">A12*B12</f>
        <v>266100.01500000001</v>
      </c>
    </row>
    <row r="20" spans="1:3">
      <c r="B20">
        <f t="shared" si="0"/>
        <v>228.99699999999999</v>
      </c>
    </row>
    <row r="21" spans="1:3">
      <c r="B21">
        <f t="shared" si="0"/>
        <v>308406.10499999998</v>
      </c>
    </row>
    <row r="22" spans="1:3">
      <c r="B22">
        <f t="shared" si="0"/>
        <v>409822.85499999998</v>
      </c>
    </row>
    <row r="23" spans="1:3">
      <c r="B23">
        <f t="shared" si="0"/>
        <v>84610</v>
      </c>
    </row>
    <row r="24" spans="1:3">
      <c r="B24">
        <f t="shared" si="0"/>
        <v>45</v>
      </c>
    </row>
    <row r="25" spans="1:3">
      <c r="B25">
        <f>SUM(B19:B24)</f>
        <v>1069212.9720000001</v>
      </c>
    </row>
    <row r="26" spans="1:3">
      <c r="B26">
        <f>SUM(A12:A17)</f>
        <v>1000</v>
      </c>
    </row>
    <row r="27" spans="1:3">
      <c r="B27">
        <f>B25/B26</f>
        <v>1069.212972</v>
      </c>
    </row>
    <row r="28" spans="1:3">
      <c r="B28">
        <f>ROUND(B27,2)</f>
        <v>1069.21</v>
      </c>
    </row>
    <row r="30" spans="1:3">
      <c r="B30">
        <f t="shared" ref="B30:B35" si="1">POWER(C12,2)</f>
        <v>612686.60404900007</v>
      </c>
    </row>
    <row r="31" spans="1:3">
      <c r="B31">
        <f t="shared" si="1"/>
        <v>4.7524000000000006</v>
      </c>
    </row>
    <row r="32" spans="1:3">
      <c r="B32">
        <f t="shared" si="1"/>
        <v>168411.7444</v>
      </c>
    </row>
    <row r="33" spans="2:2">
      <c r="B33">
        <f t="shared" si="1"/>
        <v>158343.50977599999</v>
      </c>
    </row>
    <row r="34" spans="2:2">
      <c r="B34">
        <f t="shared" si="1"/>
        <v>50655.604624000007</v>
      </c>
    </row>
    <row r="35" spans="2:2">
      <c r="B35">
        <f t="shared" si="1"/>
        <v>3.1862249999999999</v>
      </c>
    </row>
    <row r="36" spans="2:2">
      <c r="B36">
        <f t="shared" ref="B36:B41" si="2">POWER(B12,2)</f>
        <v>1008319.2308009999</v>
      </c>
    </row>
    <row r="37" spans="2:2">
      <c r="B37">
        <f t="shared" si="2"/>
        <v>54.567768999999991</v>
      </c>
    </row>
    <row r="38" spans="2:2">
      <c r="B38">
        <f t="shared" si="2"/>
        <v>1049815.4060250001</v>
      </c>
    </row>
    <row r="39" spans="2:2">
      <c r="B39">
        <f t="shared" si="2"/>
        <v>1878667.716025</v>
      </c>
    </row>
    <row r="40" spans="2:2">
      <c r="B40">
        <f t="shared" si="2"/>
        <v>715885.21000000008</v>
      </c>
    </row>
    <row r="41" spans="2:2">
      <c r="B41">
        <f t="shared" si="2"/>
        <v>126.5625</v>
      </c>
    </row>
    <row r="42" spans="2:2">
      <c r="B42">
        <f t="shared" ref="B42:B47" si="3">B30+B36</f>
        <v>1621005.83485</v>
      </c>
    </row>
    <row r="43" spans="2:2">
      <c r="B43">
        <f t="shared" si="3"/>
        <v>59.320168999999993</v>
      </c>
    </row>
    <row r="44" spans="2:2">
      <c r="B44">
        <f t="shared" si="3"/>
        <v>1218227.1504250001</v>
      </c>
    </row>
    <row r="45" spans="2:2">
      <c r="B45">
        <f t="shared" si="3"/>
        <v>2037011.2258009999</v>
      </c>
    </row>
    <row r="46" spans="2:2">
      <c r="B46">
        <f t="shared" si="3"/>
        <v>766540.81462400011</v>
      </c>
    </row>
    <row r="47" spans="2:2">
      <c r="B47">
        <f t="shared" si="3"/>
        <v>129.74872500000001</v>
      </c>
    </row>
    <row r="48" spans="2:2">
      <c r="B48">
        <f t="shared" ref="B48:B53" si="4">A12*B42</f>
        <v>429566546.23525</v>
      </c>
    </row>
    <row r="49" spans="2:2">
      <c r="B49">
        <f t="shared" si="4"/>
        <v>1838.9252389999997</v>
      </c>
    </row>
    <row r="50" spans="2:2">
      <c r="B50">
        <f t="shared" si="4"/>
        <v>366686372.27792501</v>
      </c>
    </row>
    <row r="51" spans="2:2">
      <c r="B51">
        <f t="shared" si="4"/>
        <v>609066356.51449895</v>
      </c>
    </row>
    <row r="52" spans="2:2">
      <c r="B52">
        <f t="shared" si="4"/>
        <v>76654081.462400004</v>
      </c>
    </row>
    <row r="53" spans="2:2">
      <c r="B53">
        <f t="shared" si="4"/>
        <v>518.99490000000003</v>
      </c>
    </row>
    <row r="54" spans="2:2">
      <c r="B54">
        <f>SUM(B48:B53)</f>
        <v>1481975714.410213</v>
      </c>
    </row>
    <row r="55" spans="2:2">
      <c r="B55">
        <f>B54/B26</f>
        <v>1481975.7144102131</v>
      </c>
    </row>
    <row r="58" spans="2:2">
      <c r="B58">
        <f>B55-POWER(B27,2)</f>
        <v>338759.33491714019</v>
      </c>
    </row>
    <row r="60" spans="2:2">
      <c r="B60">
        <f>SQRT(LN(1+B58/POWER(B27,2)))</f>
        <v>0.50944132578049905</v>
      </c>
    </row>
    <row r="63" spans="2:2">
      <c r="B63">
        <f>LN(B27)-POWER(B60,2)/2</f>
        <v>6.8449128844201361</v>
      </c>
    </row>
    <row r="66" spans="2:2">
      <c r="B66">
        <f>EXP(B63+1.64485*B60)</f>
        <v>2170.8356164795705</v>
      </c>
    </row>
    <row r="67" spans="2:2">
      <c r="B67">
        <f>ROUND(B66,2)</f>
        <v>2170.84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pessimistic-lock-1000-ngrinder-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2026-03-29T19:48:24Z</dcterms:created>
  <dcterms:modified xsi:type="dcterms:W3CDTF">2026-03-29T20:42:29Z</dcterms:modified>
</cp:coreProperties>
</file>