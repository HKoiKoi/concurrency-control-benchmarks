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angja/Projects/concurrency-control-benchmarks/docs/result/row-data/3rd-test/pessimistic/"/>
    </mc:Choice>
  </mc:AlternateContent>
  <xr:revisionPtr revIDLastSave="0" documentId="13_ncr:1_{C8089468-51AD-AC40-B575-176CC816424D}" xr6:coauthVersionLast="47" xr6:coauthVersionMax="47" xr10:uidLastSave="{00000000-0000-0000-0000-000000000000}"/>
  <bookViews>
    <workbookView xWindow="14700" yWindow="660" windowWidth="14700" windowHeight="18460" xr2:uid="{2734A38C-4AD0-984C-AD7B-3659CDCE58CD}"/>
  </bookViews>
  <sheets>
    <sheet name="pessimistic-lock-1000-ngrinder-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" i="1" l="1"/>
  <c r="E31" i="1"/>
  <c r="E30" i="1"/>
  <c r="E29" i="1"/>
  <c r="E28" i="1"/>
  <c r="E33" i="1" s="1"/>
  <c r="E27" i="1"/>
  <c r="E24" i="1"/>
  <c r="E23" i="1"/>
  <c r="E22" i="1"/>
  <c r="E21" i="1"/>
  <c r="E20" i="1"/>
  <c r="E19" i="1"/>
  <c r="E25" i="1" s="1"/>
  <c r="E35" i="1" l="1"/>
  <c r="E38" i="1" l="1"/>
  <c r="E39" i="1" s="1"/>
  <c r="E36" i="1"/>
  <c r="B41" i="1" l="1"/>
  <c r="B35" i="1"/>
  <c r="B47" i="1" s="1"/>
  <c r="B53" i="1" s="1"/>
  <c r="B34" i="1"/>
  <c r="B32" i="1"/>
  <c r="B31" i="1"/>
  <c r="B43" i="1" s="1"/>
  <c r="B24" i="1"/>
  <c r="B21" i="1"/>
  <c r="B20" i="1"/>
  <c r="C17" i="1"/>
  <c r="B17" i="1"/>
  <c r="A17" i="1"/>
  <c r="C16" i="1"/>
  <c r="B16" i="1"/>
  <c r="B40" i="1" s="1"/>
  <c r="A16" i="1"/>
  <c r="B23" i="1" s="1"/>
  <c r="C15" i="1"/>
  <c r="B33" i="1" s="1"/>
  <c r="B15" i="1"/>
  <c r="B39" i="1" s="1"/>
  <c r="A15" i="1"/>
  <c r="B22" i="1" s="1"/>
  <c r="C14" i="1"/>
  <c r="B14" i="1"/>
  <c r="B38" i="1" s="1"/>
  <c r="A14" i="1"/>
  <c r="C13" i="1"/>
  <c r="B13" i="1"/>
  <c r="B37" i="1" s="1"/>
  <c r="A13" i="1"/>
  <c r="C12" i="1"/>
  <c r="B30" i="1" s="1"/>
  <c r="B12" i="1"/>
  <c r="B36" i="1" s="1"/>
  <c r="A12" i="1"/>
  <c r="B19" i="1" s="1"/>
  <c r="B25" i="1" s="1"/>
  <c r="B42" i="1" l="1"/>
  <c r="B27" i="1"/>
  <c r="B45" i="1"/>
  <c r="B44" i="1"/>
  <c r="B50" i="1" s="1"/>
  <c r="B49" i="1"/>
  <c r="B46" i="1"/>
  <c r="B52" i="1"/>
  <c r="B51" i="1"/>
  <c r="B48" i="1"/>
  <c r="B26" i="1"/>
  <c r="B28" i="1" l="1"/>
  <c r="B54" i="1"/>
  <c r="B55" i="1" s="1"/>
  <c r="B58" i="1" s="1"/>
  <c r="B60" i="1" s="1"/>
  <c r="B63" i="1" s="1"/>
  <c r="B66" i="1" s="1"/>
  <c r="B67" i="1" s="1"/>
</calcChain>
</file>

<file path=xl/sharedStrings.xml><?xml version="1.0" encoding="utf-8"?>
<sst xmlns="http://schemas.openxmlformats.org/spreadsheetml/2006/main" count="13" uniqueCount="13">
  <si>
    <t>DateTime</t>
  </si>
  <si>
    <t>vuser</t>
  </si>
  <si>
    <t>Tests</t>
  </si>
  <si>
    <t>Errors</t>
  </si>
  <si>
    <t>Mean_Test_Time_(ms)</t>
  </si>
  <si>
    <t>Test_Time_Standard_Deviation_(ms)</t>
  </si>
  <si>
    <t>TPS</t>
  </si>
  <si>
    <t>Mean_response_length</t>
  </si>
  <si>
    <t>Response_bytes_per_second</t>
  </si>
  <si>
    <t>Response_errors</t>
  </si>
  <si>
    <t>Mean_time_to_resolve_host</t>
  </si>
  <si>
    <t>Mean_time_to_establish_connection</t>
  </si>
  <si>
    <t>Mean_time_to_first_byte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</si>
</sst>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/d\ h:mm:s"/>
  </numFmts>
  <fonts count="19">
    <font>
      <sz val="12"/>
      <color theme="1"/>
      <name val="맑은 고딕"/>
      <family val="2"/>
      <charset val="129"/>
      <scheme val="minor"/>
    </font>
    <font>
      <sz val="12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2"/>
      <color rgb="FF006100"/>
      <name val="맑은 고딕"/>
      <family val="2"/>
      <charset val="129"/>
      <scheme val="minor"/>
    </font>
    <font>
      <sz val="12"/>
      <color rgb="FF9C0006"/>
      <name val="맑은 고딕"/>
      <family val="2"/>
      <charset val="129"/>
      <scheme val="minor"/>
    </font>
    <font>
      <sz val="12"/>
      <color rgb="FF9C5700"/>
      <name val="맑은 고딕"/>
      <family val="2"/>
      <charset val="129"/>
      <scheme val="minor"/>
    </font>
    <font>
      <sz val="12"/>
      <color rgb="FF3F3F76"/>
      <name val="맑은 고딕"/>
      <family val="2"/>
      <charset val="129"/>
      <scheme val="minor"/>
    </font>
    <font>
      <b/>
      <sz val="12"/>
      <color rgb="FF3F3F3F"/>
      <name val="맑은 고딕"/>
      <family val="2"/>
      <charset val="129"/>
      <scheme val="minor"/>
    </font>
    <font>
      <b/>
      <sz val="12"/>
      <color rgb="FFFA7D00"/>
      <name val="맑은 고딕"/>
      <family val="2"/>
      <charset val="129"/>
      <scheme val="minor"/>
    </font>
    <font>
      <sz val="12"/>
      <color rgb="FFFA7D00"/>
      <name val="맑은 고딕"/>
      <family val="2"/>
      <charset val="129"/>
      <scheme val="minor"/>
    </font>
    <font>
      <b/>
      <sz val="12"/>
      <color theme="0"/>
      <name val="맑은 고딕"/>
      <family val="2"/>
      <charset val="129"/>
      <scheme val="minor"/>
    </font>
    <font>
      <sz val="12"/>
      <color rgb="FFFF0000"/>
      <name val="맑은 고딕"/>
      <family val="2"/>
      <charset val="129"/>
      <scheme val="minor"/>
    </font>
    <font>
      <i/>
      <sz val="12"/>
      <color rgb="FF7F7F7F"/>
      <name val="맑은 고딕"/>
      <family val="2"/>
      <charset val="129"/>
      <scheme val="minor"/>
    </font>
    <font>
      <b/>
      <sz val="12"/>
      <color theme="1"/>
      <name val="맑은 고딕"/>
      <family val="2"/>
      <charset val="129"/>
      <scheme val="minor"/>
    </font>
    <font>
      <sz val="12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176" fontId="0" fillId="0" borderId="0" xfId="0" applyNumberFormat="1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10</xdr:row>
      <xdr:rowOff>0</xdr:rowOff>
    </xdr:from>
    <xdr:ext cx="268407" cy="3459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89E5B7A2-E7A7-E549-B937-D42BB89D14F5}"/>
                </a:ext>
              </a:extLst>
            </xdr:cNvPr>
            <xdr:cNvSpPr txBox="1"/>
          </xdr:nvSpPr>
          <xdr:spPr>
            <a:xfrm>
              <a:off x="0" y="2286000"/>
              <a:ext cx="268407" cy="3459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89E5B7A2-E7A7-E549-B937-D42BB89D14F5}"/>
                </a:ext>
              </a:extLst>
            </xdr:cNvPr>
            <xdr:cNvSpPr txBox="1"/>
          </xdr:nvSpPr>
          <xdr:spPr>
            <a:xfrm>
              <a:off x="0" y="2286000"/>
              <a:ext cx="268407" cy="3459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𝑛_𝑖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1</xdr:col>
      <xdr:colOff>0</xdr:colOff>
      <xdr:row>10</xdr:row>
      <xdr:rowOff>0</xdr:rowOff>
    </xdr:from>
    <xdr:ext cx="279628" cy="3459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7163EFB8-2BBC-3D46-BF7B-1D4BA14E0B20}"/>
                </a:ext>
              </a:extLst>
            </xdr:cNvPr>
            <xdr:cNvSpPr txBox="1"/>
          </xdr:nvSpPr>
          <xdr:spPr>
            <a:xfrm>
              <a:off x="2222500" y="2286000"/>
              <a:ext cx="279628" cy="3459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𝜇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7163EFB8-2BBC-3D46-BF7B-1D4BA14E0B20}"/>
                </a:ext>
              </a:extLst>
            </xdr:cNvPr>
            <xdr:cNvSpPr txBox="1"/>
          </xdr:nvSpPr>
          <xdr:spPr>
            <a:xfrm>
              <a:off x="2222500" y="2286000"/>
              <a:ext cx="279628" cy="3459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𝜇_𝑖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10</xdr:row>
      <xdr:rowOff>0</xdr:rowOff>
    </xdr:from>
    <xdr:ext cx="185692" cy="3459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347A635F-BE05-ED40-8255-8F73D8A7D64B}"/>
                </a:ext>
              </a:extLst>
            </xdr:cNvPr>
            <xdr:cNvSpPr txBox="1"/>
          </xdr:nvSpPr>
          <xdr:spPr>
            <a:xfrm>
              <a:off x="3263900" y="2286000"/>
              <a:ext cx="185692" cy="3459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347A635F-BE05-ED40-8255-8F73D8A7D64B}"/>
                </a:ext>
              </a:extLst>
            </xdr:cNvPr>
            <xdr:cNvSpPr txBox="1"/>
          </xdr:nvSpPr>
          <xdr:spPr>
            <a:xfrm>
              <a:off x="3263900" y="2286000"/>
              <a:ext cx="185692" cy="3459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𝜎_𝑖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18</xdr:row>
      <xdr:rowOff>0</xdr:rowOff>
    </xdr:from>
    <xdr:ext cx="453907" cy="3459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BF4F1AC9-844B-2C4A-8BF9-0E1D6340CACB}"/>
                </a:ext>
              </a:extLst>
            </xdr:cNvPr>
            <xdr:cNvSpPr txBox="1"/>
          </xdr:nvSpPr>
          <xdr:spPr>
            <a:xfrm>
              <a:off x="0" y="4114800"/>
              <a:ext cx="453907" cy="3459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⋅</m:t>
                    </m:r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𝜇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BF4F1AC9-844B-2C4A-8BF9-0E1D6340CACB}"/>
                </a:ext>
              </a:extLst>
            </xdr:cNvPr>
            <xdr:cNvSpPr txBox="1"/>
          </xdr:nvSpPr>
          <xdr:spPr>
            <a:xfrm>
              <a:off x="0" y="4114800"/>
              <a:ext cx="453907" cy="3459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𝑛_𝑖⋅𝜇_𝑖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24</xdr:row>
      <xdr:rowOff>0</xdr:rowOff>
    </xdr:from>
    <xdr:ext cx="1049454" cy="35900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6D3508A5-892B-B143-A52F-436966D1A2C3}"/>
                </a:ext>
              </a:extLst>
            </xdr:cNvPr>
            <xdr:cNvSpPr txBox="1"/>
          </xdr:nvSpPr>
          <xdr:spPr>
            <a:xfrm>
              <a:off x="0" y="5486400"/>
              <a:ext cx="1049454" cy="3590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m:rPr>
                            <m:sty m:val="p"/>
                          </m:rPr>
                          <a:rPr lang="en-US" altLang="ko-KR" sz="1100" b="0" i="0">
                            <a:latin typeface="Cambria Math" panose="02040503050406030204" pitchFamily="18" charset="0"/>
                          </a:rPr>
                          <m:t>Σ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𝑘</m:t>
                        </m:r>
                      </m:sup>
                    </m:sSubSup>
                    <m:d>
                      <m:d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⋅</m:t>
                        </m:r>
                        <m:sSub>
                          <m:sSub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𝜇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6D3508A5-892B-B143-A52F-436966D1A2C3}"/>
                </a:ext>
              </a:extLst>
            </xdr:cNvPr>
            <xdr:cNvSpPr txBox="1"/>
          </xdr:nvSpPr>
          <xdr:spPr>
            <a:xfrm>
              <a:off x="0" y="5486400"/>
              <a:ext cx="1049454" cy="3590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Σ_(𝑖=1)^𝑘 (𝑛_𝑖⋅𝜇_𝑖 )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25</xdr:row>
      <xdr:rowOff>0</xdr:rowOff>
    </xdr:from>
    <xdr:ext cx="806503" cy="35900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6637437E-E504-7D4F-993D-77D36A1BE459}"/>
                </a:ext>
              </a:extLst>
            </xdr:cNvPr>
            <xdr:cNvSpPr txBox="1"/>
          </xdr:nvSpPr>
          <xdr:spPr>
            <a:xfrm>
              <a:off x="0" y="5715000"/>
              <a:ext cx="806503" cy="3590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m:rPr>
                            <m:sty m:val="p"/>
                          </m:rPr>
                          <a:rPr lang="en-US" altLang="ko-KR" sz="1100" b="0" i="0">
                            <a:latin typeface="Cambria Math" panose="02040503050406030204" pitchFamily="18" charset="0"/>
                          </a:rPr>
                          <m:t>Σ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𝑘</m:t>
                        </m:r>
                      </m:sup>
                    </m:sSubSup>
                    <m:d>
                      <m:d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6637437E-E504-7D4F-993D-77D36A1BE459}"/>
                </a:ext>
              </a:extLst>
            </xdr:cNvPr>
            <xdr:cNvSpPr txBox="1"/>
          </xdr:nvSpPr>
          <xdr:spPr>
            <a:xfrm>
              <a:off x="0" y="5715000"/>
              <a:ext cx="806503" cy="3590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Σ_(𝑖=1)^𝑘 (𝑛_𝑖 )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26</xdr:row>
      <xdr:rowOff>0</xdr:rowOff>
    </xdr:from>
    <xdr:ext cx="1303947" cy="49892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E3FC6B01-5813-7C48-8BB9-941314E436CE}"/>
                </a:ext>
              </a:extLst>
            </xdr:cNvPr>
            <xdr:cNvSpPr txBox="1"/>
          </xdr:nvSpPr>
          <xdr:spPr>
            <a:xfrm>
              <a:off x="0" y="5943600"/>
              <a:ext cx="1303947" cy="4989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𝜇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𝑡𝑜𝑡𝑎𝑙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Sup>
                          <m:sSubSup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m:rPr>
                                <m:sty m:val="p"/>
                              </m:rPr>
                              <a:rPr lang="en-US" altLang="ko-KR" sz="1100" b="0" i="0">
                                <a:latin typeface="Cambria Math" panose="02040503050406030204" pitchFamily="18" charset="0"/>
                              </a:rPr>
                              <m:t>Σ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sup>
                        </m:sSubSup>
                        <m:d>
                          <m:d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⋅</m:t>
                            </m:r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𝜇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</m:e>
                        </m:d>
                      </m:num>
                      <m:den>
                        <m:sSubSup>
                          <m:sSubSup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m:rPr>
                                <m:sty m:val="p"/>
                              </m:rPr>
                              <a:rPr lang="en-US" altLang="ko-KR" sz="1100" b="0" i="0">
                                <a:latin typeface="Cambria Math" panose="02040503050406030204" pitchFamily="18" charset="0"/>
                              </a:rPr>
                              <m:t>Σ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sup>
                        </m:sSubSup>
                        <m:d>
                          <m:d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</m:e>
                        </m:d>
                      </m:den>
                    </m:f>
                  </m:oMath>
                </m:oMathPara>
              </a14:m>
              <a:endParaRPr lang="en-US" altLang="ko-KR" sz="1100" b="0"/>
            </a:p>
            <a:p>
              <a:endParaRPr lang="en-US" altLang="ko-KR" sz="1100"/>
            </a:p>
          </xdr:txBody>
        </xdr:sp>
      </mc:Choice>
      <mc:Fallback xmlns="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E3FC6B01-5813-7C48-8BB9-941314E436CE}"/>
                </a:ext>
              </a:extLst>
            </xdr:cNvPr>
            <xdr:cNvSpPr txBox="1"/>
          </xdr:nvSpPr>
          <xdr:spPr>
            <a:xfrm>
              <a:off x="0" y="5943600"/>
              <a:ext cx="1303947" cy="4989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𝜇_𝑡𝑜𝑡𝑎𝑙=(Σ_(𝑖=1)^𝑘 (𝑛_𝑖⋅𝜇_𝑖 ))/(Σ_(𝑖=1)^𝑘 (𝑛_𝑖 ) )</a:t>
              </a:r>
              <a:endParaRPr lang="en-US" altLang="ko-KR" sz="1100" b="0"/>
            </a:p>
            <a:p>
              <a:endParaRPr lang="en-US" altLang="ko-KR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29</xdr:row>
      <xdr:rowOff>0</xdr:rowOff>
    </xdr:from>
    <xdr:ext cx="241300" cy="52700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0B16E9EB-747E-3C4F-A057-53140F2F8AED}"/>
                </a:ext>
              </a:extLst>
            </xdr:cNvPr>
            <xdr:cNvSpPr txBox="1"/>
          </xdr:nvSpPr>
          <xdr:spPr>
            <a:xfrm>
              <a:off x="0" y="6629400"/>
              <a:ext cx="241300" cy="52700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</m:oMath>
                </m:oMathPara>
              </a14:m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0B16E9EB-747E-3C4F-A057-53140F2F8AED}"/>
                </a:ext>
              </a:extLst>
            </xdr:cNvPr>
            <xdr:cNvSpPr txBox="1"/>
          </xdr:nvSpPr>
          <xdr:spPr>
            <a:xfrm>
              <a:off x="0" y="6629400"/>
              <a:ext cx="241300" cy="52700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𝜎_𝑖^2</a:t>
              </a:r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35</xdr:row>
      <xdr:rowOff>0</xdr:rowOff>
    </xdr:from>
    <xdr:ext cx="253787" cy="52732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4E8A7197-E6EA-B04E-AEDE-D309FEFDFDC7}"/>
                </a:ext>
              </a:extLst>
            </xdr:cNvPr>
            <xdr:cNvSpPr txBox="1"/>
          </xdr:nvSpPr>
          <xdr:spPr>
            <a:xfrm>
              <a:off x="0" y="8001000"/>
              <a:ext cx="253787" cy="52732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𝜇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</m:oMath>
                </m:oMathPara>
              </a14:m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4E8A7197-E6EA-B04E-AEDE-D309FEFDFDC7}"/>
                </a:ext>
              </a:extLst>
            </xdr:cNvPr>
            <xdr:cNvSpPr txBox="1"/>
          </xdr:nvSpPr>
          <xdr:spPr>
            <a:xfrm>
              <a:off x="0" y="8001000"/>
              <a:ext cx="253787" cy="52732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𝜇_𝑖^2</a:t>
              </a:r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41</xdr:row>
      <xdr:rowOff>0</xdr:rowOff>
    </xdr:from>
    <xdr:ext cx="1056379" cy="28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34CBE08F-300C-044B-BF50-A47687A6011D}"/>
                </a:ext>
              </a:extLst>
            </xdr:cNvPr>
            <xdr:cNvSpPr txBox="1"/>
          </xdr:nvSpPr>
          <xdr:spPr>
            <a:xfrm>
              <a:off x="0" y="9372600"/>
              <a:ext cx="1056379" cy="28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𝐸</m:t>
                    </m:r>
                    <m:d>
                      <m:dPr>
                        <m:begChr m:val="["/>
                        <m:endChr m:val="]"/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  <m:sup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e>
                    </m:d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</m:t>
                    </m:r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+</m:t>
                    </m:r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𝜇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</m:oMath>
                </m:oMathPara>
              </a14:m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  <a:p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  <a:p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34CBE08F-300C-044B-BF50-A47687A6011D}"/>
                </a:ext>
              </a:extLst>
            </xdr:cNvPr>
            <xdr:cNvSpPr txBox="1"/>
          </xdr:nvSpPr>
          <xdr:spPr>
            <a:xfrm>
              <a:off x="0" y="9372600"/>
              <a:ext cx="1056379" cy="28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𝐸[𝑋_𝑖^2 ]=𝜎_𝑖^2+𝜇_𝑖^2</a:t>
              </a:r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  <a:p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  <a:p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47</xdr:row>
      <xdr:rowOff>0</xdr:rowOff>
    </xdr:from>
    <xdr:ext cx="726930" cy="26488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BB847B91-0EE5-984B-B322-F59D4A7C1EE3}"/>
                </a:ext>
              </a:extLst>
            </xdr:cNvPr>
            <xdr:cNvSpPr txBox="1"/>
          </xdr:nvSpPr>
          <xdr:spPr>
            <a:xfrm>
              <a:off x="0" y="10744200"/>
              <a:ext cx="726930" cy="2648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⋅</m:t>
                    </m:r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𝐸</m:t>
                    </m:r>
                    <m:d>
                      <m:dPr>
                        <m:begChr m:val="["/>
                        <m:endChr m:val="]"/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  <m:sup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e>
                    </m:d>
                  </m:oMath>
                </m:oMathPara>
              </a14:m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BB847B91-0EE5-984B-B322-F59D4A7C1EE3}"/>
                </a:ext>
              </a:extLst>
            </xdr:cNvPr>
            <xdr:cNvSpPr txBox="1"/>
          </xdr:nvSpPr>
          <xdr:spPr>
            <a:xfrm>
              <a:off x="0" y="10744200"/>
              <a:ext cx="726930" cy="2648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𝑛_𝑖⋅𝐸[𝑋_𝑖^2 ]</a:t>
              </a:r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53</xdr:row>
      <xdr:rowOff>0</xdr:rowOff>
    </xdr:from>
    <xdr:ext cx="1014380" cy="24492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EE89583D-3141-BD43-B6A8-7CDF883F8C76}"/>
                </a:ext>
              </a:extLst>
            </xdr:cNvPr>
            <xdr:cNvSpPr txBox="1"/>
          </xdr:nvSpPr>
          <xdr:spPr>
            <a:xfrm>
              <a:off x="0" y="12115800"/>
              <a:ext cx="1014380" cy="2449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m:rPr>
                            <m:sty m:val="p"/>
                          </m:rPr>
                          <a:rPr lang="en-US" altLang="ko-KR" sz="1100" b="0" i="0">
                            <a:latin typeface="Cambria Math" panose="02040503050406030204" pitchFamily="18" charset="0"/>
                          </a:rPr>
                          <m:t>Σ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𝑘</m:t>
                        </m:r>
                      </m:sup>
                    </m:sSubSup>
                    <m:d>
                      <m:d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⋅</m:t>
                        </m:r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𝐸</m:t>
                        </m:r>
                        <m:d>
                          <m:dPr>
                            <m:begChr m:val="["/>
                            <m:endChr m:val="]"/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𝑋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  <m:sup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bSup>
                          </m:e>
                        </m:d>
                      </m:e>
                    </m:d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EE89583D-3141-BD43-B6A8-7CDF883F8C76}"/>
                </a:ext>
              </a:extLst>
            </xdr:cNvPr>
            <xdr:cNvSpPr txBox="1"/>
          </xdr:nvSpPr>
          <xdr:spPr>
            <a:xfrm>
              <a:off x="0" y="12115800"/>
              <a:ext cx="1014380" cy="2449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Σ_(𝑖=1)^𝑘 (𝑛_𝑖⋅𝐸[𝑋_𝑖^2 ])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54</xdr:row>
      <xdr:rowOff>0</xdr:rowOff>
    </xdr:from>
    <xdr:ext cx="1759858" cy="49892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F1132453-B352-474A-A62A-653BA127AED3}"/>
                </a:ext>
              </a:extLst>
            </xdr:cNvPr>
            <xdr:cNvSpPr txBox="1"/>
          </xdr:nvSpPr>
          <xdr:spPr>
            <a:xfrm>
              <a:off x="0" y="12344400"/>
              <a:ext cx="1759858" cy="4989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𝐸</m:t>
                        </m:r>
                        <m:d>
                          <m:dPr>
                            <m:begChr m:val="["/>
                            <m:endChr m:val="]"/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p>
                              <m:sSup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𝑋</m:t>
                                </m:r>
                              </m:e>
                              <m:sup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d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𝑡𝑜𝑡𝑎𝑙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Sup>
                          <m:sSubSup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m:rPr>
                                <m:sty m:val="p"/>
                              </m:rPr>
                              <a:rPr lang="en-US" altLang="ko-KR" sz="1100" b="0" i="0">
                                <a:latin typeface="Cambria Math" panose="02040503050406030204" pitchFamily="18" charset="0"/>
                              </a:rPr>
                              <m:t>Σ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sup>
                        </m:sSubSup>
                        <m:d>
                          <m:d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⋅</m:t>
                            </m:r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𝐸</m:t>
                            </m:r>
                            <m:d>
                              <m:dPr>
                                <m:begChr m:val="["/>
                                <m:endChr m:val="]"/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Sup>
                                  <m:sSubSupPr>
                                    <m:ctrlPr>
                                      <a:rPr lang="en-US" altLang="ko-KR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SupPr>
                                  <m:e>
                                    <m:r>
                                      <a:rPr lang="en-US" altLang="ko-KR" sz="1100" b="0" i="1">
                                        <a:latin typeface="Cambria Math" panose="02040503050406030204" pitchFamily="18" charset="0"/>
                                      </a:rPr>
                                      <m:t>𝑋</m:t>
                                    </m:r>
                                  </m:e>
                                  <m:sub>
                                    <m:r>
                                      <a:rPr lang="en-US" altLang="ko-KR" sz="1100" b="0" i="1">
                                        <a:latin typeface="Cambria Math" panose="02040503050406030204" pitchFamily="18" charset="0"/>
                                      </a:rPr>
                                      <m:t>𝑖</m:t>
                                    </m:r>
                                  </m:sub>
                                  <m:sup>
                                    <m:r>
                                      <a:rPr lang="en-US" altLang="ko-KR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bSup>
                              </m:e>
                            </m:d>
                          </m:e>
                        </m:d>
                      </m:num>
                      <m:den>
                        <m:sSubSup>
                          <m:sSubSup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m:rPr>
                                <m:sty m:val="p"/>
                              </m:rPr>
                              <a:rPr lang="en-US" altLang="ko-KR" sz="1100" b="0" i="0">
                                <a:latin typeface="Cambria Math" panose="02040503050406030204" pitchFamily="18" charset="0"/>
                              </a:rPr>
                              <m:t>Σ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sup>
                        </m:sSubSup>
                        <m:d>
                          <m:d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</m:e>
                        </m:d>
                      </m:den>
                    </m:f>
                  </m:oMath>
                </m:oMathPara>
              </a14:m>
              <a:endParaRPr lang="en-US" altLang="ko-KR" sz="1100" b="0"/>
            </a:p>
            <a:p>
              <a:endParaRPr lang="en-US" altLang="ko-KR" sz="110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F1132453-B352-474A-A62A-653BA127AED3}"/>
                </a:ext>
              </a:extLst>
            </xdr:cNvPr>
            <xdr:cNvSpPr txBox="1"/>
          </xdr:nvSpPr>
          <xdr:spPr>
            <a:xfrm>
              <a:off x="0" y="12344400"/>
              <a:ext cx="1759858" cy="4989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〖𝐸[𝑋^2 ]〗_𝑡𝑜𝑡𝑎𝑙=(Σ_(𝑖=1)^𝑘 (𝑛_𝑖⋅𝐸[𝑋_𝑖^2 ]))/(Σ_(𝑖=1)^𝑘 (𝑛_𝑖 ) )</a:t>
              </a:r>
              <a:endParaRPr lang="en-US" altLang="ko-KR" sz="1100" b="0"/>
            </a:p>
            <a:p>
              <a:endParaRPr lang="en-US" altLang="ko-KR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57</xdr:row>
      <xdr:rowOff>0</xdr:rowOff>
    </xdr:from>
    <xdr:ext cx="2239972" cy="24855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6B19283E-F988-704E-8EED-0FFBC8069DF1}"/>
                </a:ext>
              </a:extLst>
            </xdr:cNvPr>
            <xdr:cNvSpPr txBox="1"/>
          </xdr:nvSpPr>
          <xdr:spPr>
            <a:xfrm>
              <a:off x="0" y="13030200"/>
              <a:ext cx="2239972" cy="24855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𝑡𝑜𝑡𝑎𝑙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𝐸</m:t>
                    </m:r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d>
                          <m:dPr>
                            <m:begChr m:val="["/>
                            <m:endChr m:val="]"/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p>
                              <m:sSup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𝑋</m:t>
                                </m:r>
                              </m:e>
                              <m:sup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d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𝑡𝑜𝑡𝑎𝑙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−</m:t>
                    </m:r>
                    <m:sSup>
                      <m:s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𝜇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𝑡𝑜𝑡𝑎𝑙</m:t>
                                </m:r>
                              </m:sub>
                            </m:sSub>
                          </m:e>
                        </m:d>
                      </m:e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6B19283E-F988-704E-8EED-0FFBC8069DF1}"/>
                </a:ext>
              </a:extLst>
            </xdr:cNvPr>
            <xdr:cNvSpPr txBox="1"/>
          </xdr:nvSpPr>
          <xdr:spPr>
            <a:xfrm>
              <a:off x="0" y="13030200"/>
              <a:ext cx="2239972" cy="24855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𝜎_𝑡𝑜𝑡𝑎𝑙^2=𝐸[𝑋^2 ]_𝑡𝑜𝑡𝑎𝑙−(𝜇_𝑡𝑜𝑡𝑎𝑙 )^2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59</xdr:row>
      <xdr:rowOff>0</xdr:rowOff>
    </xdr:from>
    <xdr:ext cx="1559722" cy="55335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FFC22121-366D-BD44-8CC9-4FE1569045B0}"/>
                </a:ext>
              </a:extLst>
            </xdr:cNvPr>
            <xdr:cNvSpPr txBox="1"/>
          </xdr:nvSpPr>
          <xdr:spPr>
            <a:xfrm>
              <a:off x="0" y="13487400"/>
              <a:ext cx="1559722" cy="55335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r>
                          <m:rPr>
                            <m:sty m:val="p"/>
                          </m:rPr>
                          <a:rPr lang="en-US" altLang="ko-KR" sz="1100" b="0" i="1">
                            <a:latin typeface="Cambria Math" panose="02040503050406030204" pitchFamily="18" charset="0"/>
                          </a:rPr>
                          <m:t>ln</m:t>
                        </m:r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(1+</m:t>
                        </m:r>
                        <m:f>
                          <m:f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sSubSup>
                              <m:sSubSup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𝜎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𝑡𝑜𝑡𝑎𝑙</m:t>
                                </m:r>
                              </m:sub>
                              <m:sup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bSup>
                          </m:num>
                          <m:den>
                            <m:sSup>
                              <m:sSup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sSub>
                                  <m:sSubPr>
                                    <m:ctrlPr>
                                      <a:rPr lang="en-US" altLang="ko-KR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altLang="ko-KR" sz="1100" b="0" i="1">
                                        <a:latin typeface="Cambria Math" panose="02040503050406030204" pitchFamily="18" charset="0"/>
                                      </a:rPr>
                                      <m:t>𝜇</m:t>
                                    </m:r>
                                  </m:e>
                                  <m:sub>
                                    <m:r>
                                      <a:rPr lang="en-US" altLang="ko-KR" sz="1100" b="0" i="1">
                                        <a:latin typeface="Cambria Math" panose="02040503050406030204" pitchFamily="18" charset="0"/>
                                      </a:rPr>
                                      <m:t>𝑡𝑜𝑡𝑎𝑙</m:t>
                                    </m:r>
                                  </m:sub>
                                </m:sSub>
                              </m:e>
                              <m:sup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den>
                        </m:f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)</m:t>
                        </m:r>
                      </m:e>
                    </m:rad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FFC22121-366D-BD44-8CC9-4FE1569045B0}"/>
                </a:ext>
              </a:extLst>
            </xdr:cNvPr>
            <xdr:cNvSpPr txBox="1"/>
          </xdr:nvSpPr>
          <xdr:spPr>
            <a:xfrm>
              <a:off x="0" y="13487400"/>
              <a:ext cx="1559722" cy="55335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𝜎_𝑙𝑜𝑔=√(ln(1+(𝜎_𝑡𝑜𝑡𝑎𝑙^2)/〖𝜇_𝑡𝑜𝑡𝑎𝑙〗^2 ))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62</xdr:row>
      <xdr:rowOff>0</xdr:rowOff>
    </xdr:from>
    <xdr:ext cx="1559722" cy="45357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A7C0B52B-88CD-6444-B1AD-B840C8C20694}"/>
                </a:ext>
              </a:extLst>
            </xdr:cNvPr>
            <xdr:cNvSpPr txBox="1"/>
          </xdr:nvSpPr>
          <xdr:spPr>
            <a:xfrm>
              <a:off x="0" y="14173200"/>
              <a:ext cx="1559722" cy="4535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𝜇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m:rPr>
                        <m:sty m:val="p"/>
                      </m:rPr>
                      <a:rPr lang="en-US" altLang="ko-KR" sz="1100" b="0" i="1">
                        <a:latin typeface="Cambria Math" panose="02040503050406030204" pitchFamily="18" charset="0"/>
                      </a:rPr>
                      <m:t>ln</m:t>
                    </m:r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𝜇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𝑡𝑜𝑡𝑎𝑙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)−</m:t>
                    </m:r>
                    <m:f>
                      <m:f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Sup>
                          <m:sSubSup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𝜎</m:t>
                            </m:r>
                          </m:e>
                          <m:sub>
                            <m:r>
                              <m:rPr>
                                <m:sty m:val="p"/>
                              </m:r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log</m:t>
                            </m:r>
                          </m:sub>
                          <m:sup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num>
                      <m:den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 xmlns="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A7C0B52B-88CD-6444-B1AD-B840C8C20694}"/>
                </a:ext>
              </a:extLst>
            </xdr:cNvPr>
            <xdr:cNvSpPr txBox="1"/>
          </xdr:nvSpPr>
          <xdr:spPr>
            <a:xfrm>
              <a:off x="0" y="14173200"/>
              <a:ext cx="1559722" cy="4535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𝜇_𝑙𝑜𝑔=ln(𝜇_𝑡𝑜𝑡𝑎𝑙)−(𝜎_log^2)/2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65</xdr:row>
      <xdr:rowOff>0</xdr:rowOff>
    </xdr:from>
    <xdr:ext cx="2071786" cy="18299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5" name="TextBox 34">
              <a:extLst>
                <a:ext uri="{FF2B5EF4-FFF2-40B4-BE49-F238E27FC236}">
                  <a16:creationId xmlns:a16="http://schemas.microsoft.com/office/drawing/2014/main" id="{4E675EC7-69B9-1A4E-93AF-1170E58A4A82}"/>
                </a:ext>
              </a:extLst>
            </xdr:cNvPr>
            <xdr:cNvSpPr txBox="1"/>
          </xdr:nvSpPr>
          <xdr:spPr>
            <a:xfrm>
              <a:off x="0" y="14859000"/>
              <a:ext cx="2071786" cy="1829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en-US" altLang="ko-KR" sz="1100" b="0" i="1">
                        <a:latin typeface="Cambria Math" panose="02040503050406030204" pitchFamily="18" charset="0"/>
                      </a:rPr>
                      <m:t>p</m:t>
                    </m:r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95=</m:t>
                    </m:r>
                    <m:r>
                      <m:rPr>
                        <m:nor/>
                      </m:rPr>
                      <a:rPr lang="en-US" altLang="ko-KR" sz="1100" b="0" i="0">
                        <a:latin typeface="Cambria Math" panose="02040503050406030204" pitchFamily="18" charset="0"/>
                      </a:rPr>
                      <m:t>exp</m:t>
                    </m:r>
                    <m:r>
                      <m:rPr>
                        <m:nor/>
                      </m:rPr>
                      <a:rPr lang="en-US" altLang="ko-KR" sz="1100" b="0" i="0">
                        <a:latin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𝜇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+1.64485 ⋅</m:t>
                    </m:r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</m:sub>
                    </m:sSub>
                    <m:r>
                      <m:rPr>
                        <m:nor/>
                      </m:rPr>
                      <a:rPr lang="en-US" altLang="ko-KR" sz="1100" b="0" i="0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ko-KR" altLang="en-US" sz="1100"/>
            </a:p>
          </xdr:txBody>
        </xdr:sp>
      </mc:Choice>
      <mc:Fallback xmlns="">
        <xdr:sp macro="" textlink="">
          <xdr:nvSpPr>
            <xdr:cNvPr id="35" name="TextBox 34">
              <a:extLst>
                <a:ext uri="{FF2B5EF4-FFF2-40B4-BE49-F238E27FC236}">
                  <a16:creationId xmlns:a16="http://schemas.microsoft.com/office/drawing/2014/main" id="{4E675EC7-69B9-1A4E-93AF-1170E58A4A82}"/>
                </a:ext>
              </a:extLst>
            </xdr:cNvPr>
            <xdr:cNvSpPr txBox="1"/>
          </xdr:nvSpPr>
          <xdr:spPr>
            <a:xfrm>
              <a:off x="0" y="14859000"/>
              <a:ext cx="2071786" cy="1829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p95="exp(" 𝜇_𝑙𝑜𝑔+1.64485 ⋅𝜎_𝑙𝑜𝑔 ")</a:t>
              </a:r>
              <a:r>
                <a:rPr lang="ko-KR" altLang="en-US" sz="1100" b="0" i="0">
                  <a:latin typeface="Cambria Math" panose="02040503050406030204" pitchFamily="18" charset="0"/>
                </a:rPr>
                <a:t>"</a:t>
              </a:r>
              <a:endParaRPr lang="ko-KR" altLang="en-US" sz="1100"/>
            </a:p>
          </xdr:txBody>
        </xdr:sp>
      </mc:Fallback>
    </mc:AlternateContent>
    <xdr:clientData/>
  </xdr:oneCellAnchor>
  <xdr:oneCellAnchor>
    <xdr:from>
      <xdr:col>3</xdr:col>
      <xdr:colOff>0</xdr:colOff>
      <xdr:row>18</xdr:row>
      <xdr:rowOff>0</xdr:rowOff>
    </xdr:from>
    <xdr:ext cx="738151" cy="35509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A0B81F02-D636-A340-B7AF-5C1E8889950E}"/>
                </a:ext>
              </a:extLst>
            </xdr:cNvPr>
            <xdr:cNvSpPr txBox="1"/>
          </xdr:nvSpPr>
          <xdr:spPr>
            <a:xfrm>
              <a:off x="3746500" y="4114800"/>
              <a:ext cx="738151" cy="35509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d>
                      <m:d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A0B81F02-D636-A340-B7AF-5C1E8889950E}"/>
                </a:ext>
              </a:extLst>
            </xdr:cNvPr>
            <xdr:cNvSpPr txBox="1"/>
          </xdr:nvSpPr>
          <xdr:spPr>
            <a:xfrm>
              <a:off x="3746500" y="4114800"/>
              <a:ext cx="738151" cy="35509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(𝑛_𝑖−1) </a:t>
              </a:r>
              <a:r>
                <a:rPr lang="en-US" altLang="ko-KR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𝜎_</a:t>
              </a:r>
              <a:r>
                <a:rPr lang="en-US" altLang="ko-KR" sz="1100" b="0" i="0">
                  <a:latin typeface="Cambria Math" panose="02040503050406030204" pitchFamily="18" charset="0"/>
                </a:rPr>
                <a:t>𝑖^2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3</xdr:col>
      <xdr:colOff>0</xdr:colOff>
      <xdr:row>24</xdr:row>
      <xdr:rowOff>0</xdr:rowOff>
    </xdr:from>
    <xdr:ext cx="1599284" cy="18287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CF083CF3-2450-8243-B4C8-AAB931D02587}"/>
                </a:ext>
              </a:extLst>
            </xdr:cNvPr>
            <xdr:cNvSpPr txBox="1"/>
          </xdr:nvSpPr>
          <xdr:spPr>
            <a:xfrm>
              <a:off x="3746500" y="5486400"/>
              <a:ext cx="1599284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𝑆</m:t>
                    </m:r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𝑤𝑖𝑡h𝑖𝑛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</m:t>
                    </m:r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m:rPr>
                            <m:sty m:val="p"/>
                          </m:rPr>
                          <a:rPr lang="en-US" altLang="ko-KR" sz="1100" b="0" i="0">
                            <a:latin typeface="Cambria Math" panose="02040503050406030204" pitchFamily="18" charset="0"/>
                          </a:rPr>
                          <m:t>Σ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  <m:d>
                      <m:d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</m:oMath>
                </m:oMathPara>
              </a14:m>
              <a:endParaRPr lang="en-US" altLang="ko-KR" sz="1100" b="0"/>
            </a:p>
          </xdr:txBody>
        </xdr:sp>
      </mc:Choice>
      <mc:Fallback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CF083CF3-2450-8243-B4C8-AAB931D02587}"/>
                </a:ext>
              </a:extLst>
            </xdr:cNvPr>
            <xdr:cNvSpPr txBox="1"/>
          </xdr:nvSpPr>
          <xdr:spPr>
            <a:xfrm>
              <a:off x="3746500" y="5486400"/>
              <a:ext cx="1599284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𝑆𝑆_𝑤𝑖𝑡ℎ𝑖𝑛=Σ_(𝑖=1)^2 (𝑛_𝑖−1) 𝜎_𝑖^2</a:t>
              </a:r>
              <a:endParaRPr lang="en-US" altLang="ko-KR" sz="1100" b="0"/>
            </a:p>
          </xdr:txBody>
        </xdr:sp>
      </mc:Fallback>
    </mc:AlternateContent>
    <xdr:clientData/>
  </xdr:oneCellAnchor>
  <xdr:oneCellAnchor>
    <xdr:from>
      <xdr:col>3</xdr:col>
      <xdr:colOff>0</xdr:colOff>
      <xdr:row>26</xdr:row>
      <xdr:rowOff>0</xdr:rowOff>
    </xdr:from>
    <xdr:ext cx="964816" cy="177228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5DD90DA7-42AE-D748-BF54-B559241DF95A}"/>
                </a:ext>
              </a:extLst>
            </xdr:cNvPr>
            <xdr:cNvSpPr txBox="1"/>
          </xdr:nvSpPr>
          <xdr:spPr>
            <a:xfrm>
              <a:off x="3746500" y="5943600"/>
              <a:ext cx="964816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sSup>
                      <m:s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𝜇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𝜇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𝑡𝑜𝑡𝑎𝑙</m:t>
                                </m:r>
                              </m:sub>
                            </m:sSub>
                          </m:e>
                        </m:d>
                      </m:e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n-US" altLang="ko-KR" sz="1100" b="0"/>
            </a:p>
          </xdr:txBody>
        </xdr:sp>
      </mc:Choice>
      <mc:Fallback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5DD90DA7-42AE-D748-BF54-B559241DF95A}"/>
                </a:ext>
              </a:extLst>
            </xdr:cNvPr>
            <xdr:cNvSpPr txBox="1"/>
          </xdr:nvSpPr>
          <xdr:spPr>
            <a:xfrm>
              <a:off x="3746500" y="5943600"/>
              <a:ext cx="964816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𝑛_𝑖 (𝜇_𝑖−𝜇_𝑡𝑜𝑡𝑎𝑙 )^2</a:t>
              </a:r>
              <a:endParaRPr lang="en-US" altLang="ko-KR" sz="1100" b="0"/>
            </a:p>
          </xdr:txBody>
        </xdr:sp>
      </mc:Fallback>
    </mc:AlternateContent>
    <xdr:clientData/>
  </xdr:oneCellAnchor>
  <xdr:oneCellAnchor>
    <xdr:from>
      <xdr:col>3</xdr:col>
      <xdr:colOff>0</xdr:colOff>
      <xdr:row>32</xdr:row>
      <xdr:rowOff>0</xdr:rowOff>
    </xdr:from>
    <xdr:ext cx="1984902" cy="186782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4EEA9E53-2720-BE4F-ADEE-800D437DFD84}"/>
                </a:ext>
              </a:extLst>
            </xdr:cNvPr>
            <xdr:cNvSpPr txBox="1"/>
          </xdr:nvSpPr>
          <xdr:spPr>
            <a:xfrm>
              <a:off x="3746500" y="7315200"/>
              <a:ext cx="1984902" cy="1867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𝑆</m:t>
                    </m:r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𝑏𝑒𝑡𝑤𝑒𝑒𝑛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</m:t>
                    </m:r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m:rPr>
                            <m:sty m:val="p"/>
                          </m:rPr>
                          <a:rPr lang="en-US" altLang="ko-KR" sz="1100" b="0" i="0">
                            <a:latin typeface="Cambria Math" panose="02040503050406030204" pitchFamily="18" charset="0"/>
                          </a:rPr>
                          <m:t>Σ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𝑘</m:t>
                        </m:r>
                      </m:sup>
                    </m:sSubSup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sSup>
                      <m:s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𝜇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𝜇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𝑡𝑜𝑡𝑎𝑙</m:t>
                                </m:r>
                              </m:sub>
                            </m:sSub>
                          </m:e>
                        </m:d>
                      </m:e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n-US" altLang="ko-KR" sz="1100" b="0"/>
            </a:p>
          </xdr:txBody>
        </xdr:sp>
      </mc:Choice>
      <mc:Fallback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4EEA9E53-2720-BE4F-ADEE-800D437DFD84}"/>
                </a:ext>
              </a:extLst>
            </xdr:cNvPr>
            <xdr:cNvSpPr txBox="1"/>
          </xdr:nvSpPr>
          <xdr:spPr>
            <a:xfrm>
              <a:off x="3746500" y="7315200"/>
              <a:ext cx="1984902" cy="1867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𝑆𝑆_𝑏𝑒𝑡𝑤𝑒𝑒𝑛=Σ_(𝑖=1)^𝑘 𝑛_𝑖 (𝜇_𝑖−𝜇_𝑡𝑜𝑡𝑎𝑙 )^2</a:t>
              </a:r>
              <a:endParaRPr lang="en-US" altLang="ko-KR" sz="1100" b="0"/>
            </a:p>
          </xdr:txBody>
        </xdr:sp>
      </mc:Fallback>
    </mc:AlternateContent>
    <xdr:clientData/>
  </xdr:oneCellAnchor>
  <xdr:oneCellAnchor>
    <xdr:from>
      <xdr:col>3</xdr:col>
      <xdr:colOff>0</xdr:colOff>
      <xdr:row>34</xdr:row>
      <xdr:rowOff>0</xdr:rowOff>
    </xdr:from>
    <xdr:ext cx="1842235" cy="50013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83BBD345-B10F-784F-93DB-3586645E1E41}"/>
                </a:ext>
              </a:extLst>
            </xdr:cNvPr>
            <xdr:cNvSpPr txBox="1"/>
          </xdr:nvSpPr>
          <xdr:spPr>
            <a:xfrm>
              <a:off x="3746500" y="7772400"/>
              <a:ext cx="1842235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n-US" altLang="ko-KR" sz="1100" b="0" i="1">
                            <a:latin typeface="Cambria Math" panose="02040503050406030204" pitchFamily="18" charset="0"/>
                          </a:rPr>
                          <m:t>total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m:rPr>
                                    <m:sty m:val="p"/>
                                  </m:r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SS</m:t>
                                </m:r>
                              </m:e>
                              <m:sub>
                                <m:r>
                                  <m:rPr>
                                    <m:sty m:val="p"/>
                                  </m:r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within</m:t>
                                </m:r>
                              </m:sub>
                            </m:s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+</m:t>
                            </m:r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m:rPr>
                                    <m:sty m:val="p"/>
                                  </m:r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SS</m:t>
                                </m:r>
                              </m:e>
                              <m:sub>
                                <m:r>
                                  <m:rPr>
                                    <m:sty m:val="p"/>
                                  </m:r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between</m:t>
                                </m:r>
                              </m:sub>
                            </m:sSub>
                          </m:num>
                          <m:den>
                            <m:r>
                              <m:rPr>
                                <m:sty m:val="p"/>
                              </m:r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N</m:t>
                            </m:r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e>
                    </m:rad>
                  </m:oMath>
                </m:oMathPara>
              </a14:m>
              <a:endParaRPr lang="ko-KR" altLang="en-US" sz="1100"/>
            </a:p>
          </xdr:txBody>
        </xdr:sp>
      </mc:Choice>
      <mc:Fallback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83BBD345-B10F-784F-93DB-3586645E1E41}"/>
                </a:ext>
              </a:extLst>
            </xdr:cNvPr>
            <xdr:cNvSpPr txBox="1"/>
          </xdr:nvSpPr>
          <xdr:spPr>
            <a:xfrm>
              <a:off x="3746500" y="7772400"/>
              <a:ext cx="1842235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𝜎_</a:t>
              </a:r>
              <a:r>
                <a:rPr lang="en-US" altLang="ko-KR" sz="1100" b="0" i="0">
                  <a:latin typeface="Cambria Math" panose="02040503050406030204" pitchFamily="18" charset="0"/>
                </a:rPr>
                <a:t>total=√((SS_within+SS_between)/(N−1))</a:t>
              </a:r>
              <a:endParaRPr lang="ko-KR" altLang="en-US" sz="1100"/>
            </a:p>
          </xdr:txBody>
        </xdr:sp>
      </mc:Fallback>
    </mc:AlternateContent>
    <xdr:clientData/>
  </xdr:oneCellAnchor>
  <xdr:oneCellAnchor>
    <xdr:from>
      <xdr:col>3</xdr:col>
      <xdr:colOff>0</xdr:colOff>
      <xdr:row>37</xdr:row>
      <xdr:rowOff>0</xdr:rowOff>
    </xdr:from>
    <xdr:ext cx="438710" cy="17376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8BF9D271-F6CF-F648-994E-FAB1F90142DD}"/>
                </a:ext>
              </a:extLst>
            </xdr:cNvPr>
            <xdr:cNvSpPr txBox="1"/>
          </xdr:nvSpPr>
          <xdr:spPr>
            <a:xfrm>
              <a:off x="3746500" y="8458200"/>
              <a:ext cx="43871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2</m:t>
                    </m:r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𝑡𝑜𝑡𝑎𝑙</m:t>
                        </m:r>
                      </m:sub>
                    </m:sSub>
                  </m:oMath>
                </m:oMathPara>
              </a14:m>
              <a:endParaRPr lang="en-US" altLang="ko-KR" sz="1100" b="0"/>
            </a:p>
          </xdr:txBody>
        </xdr:sp>
      </mc:Choice>
      <mc:Fallback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8BF9D271-F6CF-F648-994E-FAB1F90142DD}"/>
                </a:ext>
              </a:extLst>
            </xdr:cNvPr>
            <xdr:cNvSpPr txBox="1"/>
          </xdr:nvSpPr>
          <xdr:spPr>
            <a:xfrm>
              <a:off x="3746500" y="8458200"/>
              <a:ext cx="43871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2𝜎_𝑡𝑜𝑡𝑎𝑙</a:t>
              </a:r>
              <a:endParaRPr lang="en-US" altLang="ko-KR" sz="1100" b="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D35FC-6F52-054F-B81F-40581F49A8E6}">
  <dimension ref="A1:M67"/>
  <sheetViews>
    <sheetView tabSelected="1" topLeftCell="A5" workbookViewId="0">
      <selection activeCell="E24" sqref="E24"/>
    </sheetView>
  </sheetViews>
  <sheetFormatPr baseColWidth="10" defaultRowHeight="18"/>
  <cols>
    <col min="1" max="1" width="24" customWidth="1"/>
    <col min="2" max="2" width="12.7109375" bestFit="1" customWidth="1"/>
    <col min="3" max="3" width="8.7109375" bestFit="1" customWidth="1"/>
    <col min="4" max="4" width="22.85546875" customWidth="1"/>
    <col min="5" max="5" width="18.85546875" bestFit="1" customWidth="1"/>
    <col min="6" max="6" width="30.5703125" bestFit="1" customWidth="1"/>
    <col min="7" max="7" width="6.7109375" bestFit="1" customWidth="1"/>
    <col min="8" max="8" width="19.7109375" bestFit="1" customWidth="1"/>
    <col min="9" max="9" width="23.85546875" bestFit="1" customWidth="1"/>
    <col min="10" max="10" width="14" bestFit="1" customWidth="1"/>
    <col min="11" max="11" width="23.42578125" bestFit="1" customWidth="1"/>
    <col min="12" max="12" width="30.7109375" bestFit="1" customWidth="1"/>
    <col min="13" max="13" width="20.7109375" bestFit="1" customWidth="1"/>
  </cols>
  <sheetData>
    <row r="1" spans="1:1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>
      <c r="A2" s="1">
        <v>46110.745439814818</v>
      </c>
      <c r="B2">
        <v>961</v>
      </c>
      <c r="C2">
        <v>265</v>
      </c>
      <c r="D2">
        <v>0</v>
      </c>
      <c r="E2">
        <v>1004.151</v>
      </c>
      <c r="F2">
        <v>782.74300000000005</v>
      </c>
      <c r="G2">
        <v>132.5</v>
      </c>
      <c r="H2">
        <v>101.604</v>
      </c>
      <c r="I2">
        <v>13462.5</v>
      </c>
      <c r="J2">
        <v>65</v>
      </c>
      <c r="K2">
        <v>0</v>
      </c>
      <c r="L2">
        <v>245.66</v>
      </c>
      <c r="M2">
        <v>359.36599999999999</v>
      </c>
    </row>
    <row r="3" spans="1:13">
      <c r="A3" s="1">
        <v>46110.745462962965</v>
      </c>
      <c r="B3">
        <v>706</v>
      </c>
      <c r="C3">
        <v>31</v>
      </c>
      <c r="D3">
        <v>0</v>
      </c>
      <c r="E3">
        <v>7.3869999999999996</v>
      </c>
      <c r="F3">
        <v>2.1800000000000002</v>
      </c>
      <c r="G3">
        <v>15.5</v>
      </c>
      <c r="H3">
        <v>165</v>
      </c>
      <c r="I3">
        <v>2557.5</v>
      </c>
      <c r="J3">
        <v>31</v>
      </c>
      <c r="K3">
        <v>0</v>
      </c>
      <c r="L3">
        <v>1.903</v>
      </c>
      <c r="M3">
        <v>3.161</v>
      </c>
    </row>
    <row r="4" spans="1:13">
      <c r="A4" s="1">
        <v>46110.745486111111</v>
      </c>
      <c r="B4">
        <v>507</v>
      </c>
      <c r="C4">
        <v>301</v>
      </c>
      <c r="D4">
        <v>0</v>
      </c>
      <c r="E4">
        <v>1024.605</v>
      </c>
      <c r="F4">
        <v>410.38</v>
      </c>
      <c r="G4">
        <v>150.5</v>
      </c>
      <c r="H4">
        <v>165</v>
      </c>
      <c r="I4">
        <v>24832.5</v>
      </c>
      <c r="J4">
        <v>301</v>
      </c>
      <c r="K4">
        <v>0</v>
      </c>
      <c r="L4">
        <v>301.15899999999999</v>
      </c>
      <c r="M4">
        <v>419.75099999999998</v>
      </c>
    </row>
    <row r="5" spans="1:13">
      <c r="A5" s="1">
        <v>46110.745509259257</v>
      </c>
      <c r="B5">
        <v>104</v>
      </c>
      <c r="C5">
        <v>299</v>
      </c>
      <c r="D5">
        <v>0</v>
      </c>
      <c r="E5">
        <v>1370.645</v>
      </c>
      <c r="F5">
        <v>397.92399999999998</v>
      </c>
      <c r="G5">
        <v>149.5</v>
      </c>
      <c r="H5">
        <v>165</v>
      </c>
      <c r="I5">
        <v>24667.5</v>
      </c>
      <c r="J5">
        <v>299</v>
      </c>
      <c r="K5">
        <v>0</v>
      </c>
      <c r="L5">
        <v>353.95699999999999</v>
      </c>
      <c r="M5">
        <v>474.43799999999999</v>
      </c>
    </row>
    <row r="6" spans="1:13">
      <c r="A6" s="1">
        <v>46110.745532407411</v>
      </c>
      <c r="B6">
        <v>4</v>
      </c>
      <c r="C6">
        <v>100</v>
      </c>
      <c r="D6">
        <v>0</v>
      </c>
      <c r="E6">
        <v>846.1</v>
      </c>
      <c r="F6">
        <v>225.06800000000001</v>
      </c>
      <c r="G6">
        <v>50</v>
      </c>
      <c r="H6">
        <v>165</v>
      </c>
      <c r="I6">
        <v>8250</v>
      </c>
      <c r="J6">
        <v>100</v>
      </c>
      <c r="K6">
        <v>0</v>
      </c>
      <c r="L6">
        <v>198.03</v>
      </c>
      <c r="M6">
        <v>258.01</v>
      </c>
    </row>
    <row r="7" spans="1:13">
      <c r="A7" s="1">
        <v>46110.745555555557</v>
      </c>
      <c r="B7">
        <v>0</v>
      </c>
      <c r="C7">
        <v>4</v>
      </c>
      <c r="D7">
        <v>0</v>
      </c>
      <c r="E7">
        <v>11.25</v>
      </c>
      <c r="F7">
        <v>1.7849999999999999</v>
      </c>
      <c r="G7">
        <v>2</v>
      </c>
      <c r="H7">
        <v>165</v>
      </c>
      <c r="I7">
        <v>330</v>
      </c>
      <c r="J7">
        <v>4</v>
      </c>
      <c r="K7">
        <v>0</v>
      </c>
      <c r="L7">
        <v>3.75</v>
      </c>
      <c r="M7">
        <v>5</v>
      </c>
    </row>
    <row r="12" spans="1:13">
      <c r="A12">
        <f t="shared" ref="A12:A17" si="0">C2</f>
        <v>265</v>
      </c>
      <c r="B12">
        <f t="shared" ref="B12:C17" si="1">E2</f>
        <v>1004.151</v>
      </c>
      <c r="C12">
        <f t="shared" si="1"/>
        <v>782.74300000000005</v>
      </c>
    </row>
    <row r="13" spans="1:13">
      <c r="A13">
        <f t="shared" si="0"/>
        <v>31</v>
      </c>
      <c r="B13">
        <f t="shared" si="1"/>
        <v>7.3869999999999996</v>
      </c>
      <c r="C13">
        <f t="shared" si="1"/>
        <v>2.1800000000000002</v>
      </c>
    </row>
    <row r="14" spans="1:13">
      <c r="A14">
        <f t="shared" si="0"/>
        <v>301</v>
      </c>
      <c r="B14">
        <f t="shared" si="1"/>
        <v>1024.605</v>
      </c>
      <c r="C14">
        <f t="shared" si="1"/>
        <v>410.38</v>
      </c>
    </row>
    <row r="15" spans="1:13">
      <c r="A15">
        <f t="shared" si="0"/>
        <v>299</v>
      </c>
      <c r="B15">
        <f t="shared" si="1"/>
        <v>1370.645</v>
      </c>
      <c r="C15">
        <f t="shared" si="1"/>
        <v>397.92399999999998</v>
      </c>
    </row>
    <row r="16" spans="1:13">
      <c r="A16">
        <f t="shared" si="0"/>
        <v>100</v>
      </c>
      <c r="B16">
        <f t="shared" si="1"/>
        <v>846.1</v>
      </c>
      <c r="C16">
        <f t="shared" si="1"/>
        <v>225.06800000000001</v>
      </c>
    </row>
    <row r="17" spans="1:5">
      <c r="A17">
        <f t="shared" si="0"/>
        <v>4</v>
      </c>
      <c r="B17">
        <f t="shared" si="1"/>
        <v>11.25</v>
      </c>
      <c r="C17">
        <f t="shared" si="1"/>
        <v>1.7849999999999999</v>
      </c>
    </row>
    <row r="19" spans="1:5">
      <c r="B19">
        <f t="shared" ref="B19:B24" si="2">A12*B12</f>
        <v>266100.01500000001</v>
      </c>
      <c r="E19">
        <f t="shared" ref="E19:E24" si="3">(A12-1)*POWER(C12,2)</f>
        <v>161749263.46893603</v>
      </c>
    </row>
    <row r="20" spans="1:5">
      <c r="B20">
        <f t="shared" si="2"/>
        <v>228.99699999999999</v>
      </c>
      <c r="E20">
        <f t="shared" si="3"/>
        <v>142.57200000000003</v>
      </c>
    </row>
    <row r="21" spans="1:5">
      <c r="B21">
        <f t="shared" si="2"/>
        <v>308406.10499999998</v>
      </c>
      <c r="E21">
        <f t="shared" si="3"/>
        <v>50523523.32</v>
      </c>
    </row>
    <row r="22" spans="1:5">
      <c r="B22">
        <f t="shared" si="2"/>
        <v>409822.85499999998</v>
      </c>
      <c r="E22">
        <f t="shared" si="3"/>
        <v>47186365.913247995</v>
      </c>
    </row>
    <row r="23" spans="1:5">
      <c r="B23">
        <f t="shared" si="2"/>
        <v>84610</v>
      </c>
      <c r="E23">
        <f t="shared" si="3"/>
        <v>5014904.8577760011</v>
      </c>
    </row>
    <row r="24" spans="1:5">
      <c r="B24">
        <f t="shared" si="2"/>
        <v>45</v>
      </c>
      <c r="E24">
        <f t="shared" si="3"/>
        <v>9.5586749999999991</v>
      </c>
    </row>
    <row r="25" spans="1:5">
      <c r="B25">
        <f>SUM(B19:B24)</f>
        <v>1069212.9720000001</v>
      </c>
      <c r="E25">
        <f>SUM(E19:E24)</f>
        <v>264474209.69063503</v>
      </c>
    </row>
    <row r="26" spans="1:5">
      <c r="B26">
        <f>SUM(A12:A17)</f>
        <v>1000</v>
      </c>
    </row>
    <row r="27" spans="1:5">
      <c r="B27">
        <f>B25/B26</f>
        <v>1069.212972</v>
      </c>
      <c r="E27">
        <f>A12*POWER((B12-B$27),2)</f>
        <v>1121760.9531401305</v>
      </c>
    </row>
    <row r="28" spans="1:5">
      <c r="B28">
        <f>ROUND(B27,2)</f>
        <v>1069.21</v>
      </c>
      <c r="E28">
        <f t="shared" ref="E28:E32" si="4">A13*POWER((B13-B$27),2)</f>
        <v>34951706.239226095</v>
      </c>
    </row>
    <row r="29" spans="1:5">
      <c r="E29">
        <f t="shared" si="4"/>
        <v>598951.22095178848</v>
      </c>
    </row>
    <row r="30" spans="1:5">
      <c r="B30">
        <f t="shared" ref="B30:B35" si="5">POWER(C12,2)</f>
        <v>612686.60404900007</v>
      </c>
      <c r="E30">
        <f t="shared" si="4"/>
        <v>27167518.983753633</v>
      </c>
    </row>
    <row r="31" spans="1:5">
      <c r="B31">
        <f t="shared" si="5"/>
        <v>4.7524000000000006</v>
      </c>
      <c r="E31">
        <f t="shared" si="4"/>
        <v>4977939.8274672795</v>
      </c>
    </row>
    <row r="32" spans="1:5">
      <c r="B32">
        <f t="shared" si="5"/>
        <v>168411.7444</v>
      </c>
      <c r="E32">
        <f t="shared" si="4"/>
        <v>4477142.6004922912</v>
      </c>
    </row>
    <row r="33" spans="2:5">
      <c r="B33">
        <f t="shared" si="5"/>
        <v>158343.50977599999</v>
      </c>
      <c r="E33">
        <f>SUM(E27:E32)</f>
        <v>73295019.825031221</v>
      </c>
    </row>
    <row r="34" spans="2:5">
      <c r="B34">
        <f t="shared" si="5"/>
        <v>50655.604624000007</v>
      </c>
    </row>
    <row r="35" spans="2:5">
      <c r="B35">
        <f t="shared" si="5"/>
        <v>3.1862249999999999</v>
      </c>
      <c r="E35">
        <f>SQRT((E25+E33)/(B26-1))</f>
        <v>581.46997932182092</v>
      </c>
    </row>
    <row r="36" spans="2:5">
      <c r="B36">
        <f t="shared" ref="B36:B41" si="6">POWER(B12,2)</f>
        <v>1008319.2308009999</v>
      </c>
      <c r="E36">
        <f>ROUND(E35,2)</f>
        <v>581.47</v>
      </c>
    </row>
    <row r="37" spans="2:5">
      <c r="B37">
        <f t="shared" si="6"/>
        <v>54.567768999999991</v>
      </c>
    </row>
    <row r="38" spans="2:5">
      <c r="B38">
        <f t="shared" si="6"/>
        <v>1049815.4060250001</v>
      </c>
      <c r="E38">
        <f>2*E35</f>
        <v>1162.9399586436418</v>
      </c>
    </row>
    <row r="39" spans="2:5">
      <c r="B39">
        <f t="shared" si="6"/>
        <v>1878667.716025</v>
      </c>
      <c r="E39">
        <f>ROUND(E38,2)</f>
        <v>1162.94</v>
      </c>
    </row>
    <row r="40" spans="2:5">
      <c r="B40">
        <f t="shared" si="6"/>
        <v>715885.21000000008</v>
      </c>
    </row>
    <row r="41" spans="2:5">
      <c r="B41">
        <f t="shared" si="6"/>
        <v>126.5625</v>
      </c>
    </row>
    <row r="42" spans="2:5">
      <c r="B42">
        <f t="shared" ref="B42:B47" si="7">B30+B36</f>
        <v>1621005.83485</v>
      </c>
    </row>
    <row r="43" spans="2:5">
      <c r="B43">
        <f t="shared" si="7"/>
        <v>59.320168999999993</v>
      </c>
    </row>
    <row r="44" spans="2:5">
      <c r="B44">
        <f t="shared" si="7"/>
        <v>1218227.1504250001</v>
      </c>
    </row>
    <row r="45" spans="2:5">
      <c r="B45">
        <f t="shared" si="7"/>
        <v>2037011.2258009999</v>
      </c>
    </row>
    <row r="46" spans="2:5">
      <c r="B46">
        <f t="shared" si="7"/>
        <v>766540.81462400011</v>
      </c>
    </row>
    <row r="47" spans="2:5">
      <c r="B47">
        <f t="shared" si="7"/>
        <v>129.74872500000001</v>
      </c>
    </row>
    <row r="48" spans="2:5">
      <c r="B48">
        <f t="shared" ref="B48:B53" si="8">A12*B42</f>
        <v>429566546.23525</v>
      </c>
    </row>
    <row r="49" spans="2:2">
      <c r="B49">
        <f t="shared" si="8"/>
        <v>1838.9252389999997</v>
      </c>
    </row>
    <row r="50" spans="2:2">
      <c r="B50">
        <f t="shared" si="8"/>
        <v>366686372.27792501</v>
      </c>
    </row>
    <row r="51" spans="2:2">
      <c r="B51">
        <f t="shared" si="8"/>
        <v>609066356.51449895</v>
      </c>
    </row>
    <row r="52" spans="2:2">
      <c r="B52">
        <f t="shared" si="8"/>
        <v>76654081.462400004</v>
      </c>
    </row>
    <row r="53" spans="2:2">
      <c r="B53">
        <f t="shared" si="8"/>
        <v>518.99490000000003</v>
      </c>
    </row>
    <row r="54" spans="2:2">
      <c r="B54">
        <f>SUM(B48:B53)</f>
        <v>1481975714.410213</v>
      </c>
    </row>
    <row r="55" spans="2:2">
      <c r="B55">
        <f>B54/B26</f>
        <v>1481975.7144102131</v>
      </c>
    </row>
    <row r="58" spans="2:2">
      <c r="B58">
        <f>B55-POWER(B27,2)</f>
        <v>338759.33491714019</v>
      </c>
    </row>
    <row r="60" spans="2:2">
      <c r="B60">
        <f>SQRT(LN(1+B58/POWER(B27,2)))</f>
        <v>0.50944132578049905</v>
      </c>
    </row>
    <row r="63" spans="2:2">
      <c r="B63">
        <f>LN(B27)-POWER(B60,2)/2</f>
        <v>6.8449128844201361</v>
      </c>
    </row>
    <row r="66" spans="2:2">
      <c r="B66">
        <f>EXP(B63+1.64485*B60)</f>
        <v>2170.8356164795705</v>
      </c>
    </row>
    <row r="67" spans="2:2">
      <c r="B67">
        <f>ROUND(B66,2)</f>
        <v>2170.84</v>
      </c>
    </row>
  </sheetData>
  <phoneticPr fontId="18" type="noConversion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pessimistic-lock-1000-ngrinder-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함상현</dc:creator>
  <cp:lastModifiedBy>함상현</cp:lastModifiedBy>
  <dcterms:created xsi:type="dcterms:W3CDTF">2026-03-29T19:48:24Z</dcterms:created>
  <dcterms:modified xsi:type="dcterms:W3CDTF">2026-03-31T11:37:39Z</dcterms:modified>
</cp:coreProperties>
</file>