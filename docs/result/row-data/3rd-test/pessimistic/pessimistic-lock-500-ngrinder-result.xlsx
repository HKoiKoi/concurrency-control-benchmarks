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gja/Projects/concurrency-control-benchmarks/docs/result/row-data/3rd-test/pessimistic/"/>
    </mc:Choice>
  </mc:AlternateContent>
  <xr:revisionPtr revIDLastSave="0" documentId="13_ncr:1_{9823A468-6A16-4B42-8230-261339DFEE43}" xr6:coauthVersionLast="47" xr6:coauthVersionMax="47" xr10:uidLastSave="{00000000-0000-0000-0000-000000000000}"/>
  <bookViews>
    <workbookView xWindow="14700" yWindow="660" windowWidth="14700" windowHeight="18460" xr2:uid="{E183A82D-E7BE-C048-8629-DC2E35FE4921}"/>
  </bookViews>
  <sheets>
    <sheet name="pessimistic-lock-500-ngrinder-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1" l="1"/>
  <c r="E23" i="1"/>
  <c r="E22" i="1"/>
  <c r="E21" i="1"/>
  <c r="E25" i="1" s="1"/>
  <c r="E19" i="1"/>
  <c r="E27" i="1" s="1"/>
  <c r="E18" i="1"/>
  <c r="E17" i="1"/>
  <c r="E16" i="1"/>
  <c r="E15" i="1"/>
  <c r="E30" i="1" l="1"/>
  <c r="E31" i="1" s="1"/>
  <c r="E28" i="1"/>
  <c r="B31" i="1"/>
  <c r="B30" i="1"/>
  <c r="B28" i="1"/>
  <c r="B32" i="1" s="1"/>
  <c r="B27" i="1"/>
  <c r="B35" i="1" s="1"/>
  <c r="B39" i="1" s="1"/>
  <c r="B24" i="1"/>
  <c r="B18" i="1"/>
  <c r="B17" i="1"/>
  <c r="C13" i="1"/>
  <c r="B13" i="1"/>
  <c r="A13" i="1"/>
  <c r="C12" i="1"/>
  <c r="B26" i="1" s="1"/>
  <c r="B34" i="1" s="1"/>
  <c r="B38" i="1" s="1"/>
  <c r="B12" i="1"/>
  <c r="A12" i="1"/>
  <c r="C11" i="1"/>
  <c r="B25" i="1" s="1"/>
  <c r="B11" i="1"/>
  <c r="B29" i="1" s="1"/>
  <c r="A11" i="1"/>
  <c r="C10" i="1"/>
  <c r="B10" i="1"/>
  <c r="A10" i="1"/>
  <c r="B36" i="1" s="1"/>
  <c r="B33" i="1" l="1"/>
  <c r="B37" i="1" s="1"/>
  <c r="B40" i="1" s="1"/>
  <c r="B41" i="1" s="1"/>
  <c r="B44" i="1" s="1"/>
  <c r="B46" i="1" s="1"/>
  <c r="B20" i="1"/>
  <c r="B16" i="1"/>
  <c r="B15" i="1"/>
  <c r="B19" i="1" s="1"/>
  <c r="B21" i="1" s="1"/>
  <c r="B22" i="1" l="1"/>
  <c r="B49" i="1"/>
  <c r="B52" i="1" s="1"/>
  <c r="B53" i="1" s="1"/>
</calcChain>
</file>

<file path=xl/sharedStrings.xml><?xml version="1.0" encoding="utf-8"?>
<sst xmlns="http://schemas.openxmlformats.org/spreadsheetml/2006/main" count="13" uniqueCount="13">
  <si>
    <t>DateTime</t>
  </si>
  <si>
    <t>vuser</t>
  </si>
  <si>
    <t>Tests</t>
  </si>
  <si>
    <t>Errors</t>
  </si>
  <si>
    <t>Mean_Test_Time_(ms)</t>
  </si>
  <si>
    <t>Test_Time_Standard_Deviation_(ms)</t>
  </si>
  <si>
    <t>TPS</t>
  </si>
  <si>
    <t>Mean_response_length</t>
  </si>
  <si>
    <t>Response_bytes_per_second</t>
  </si>
  <si>
    <t>Response_errors</t>
  </si>
  <si>
    <t>Mean_time_to_resolve_host</t>
  </si>
  <si>
    <t>Mean_time_to_establish_connection</t>
  </si>
  <si>
    <t>Mean_time_to_first_byte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</si>
</sst>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:s"/>
  </numFmts>
  <fonts count="19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2"/>
      <color rgb="FF00610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sz val="12"/>
      <color rgb="FF3F3F76"/>
      <name val="맑은 고딕"/>
      <family val="2"/>
      <charset val="129"/>
      <scheme val="minor"/>
    </font>
    <font>
      <b/>
      <sz val="12"/>
      <color rgb="FF3F3F3F"/>
      <name val="맑은 고딕"/>
      <family val="2"/>
      <charset val="129"/>
      <scheme val="minor"/>
    </font>
    <font>
      <b/>
      <sz val="12"/>
      <color rgb="FFFA7D00"/>
      <name val="맑은 고딕"/>
      <family val="2"/>
      <charset val="129"/>
      <scheme val="minor"/>
    </font>
    <font>
      <sz val="12"/>
      <color rgb="FFFA7D00"/>
      <name val="맑은 고딕"/>
      <family val="2"/>
      <charset val="129"/>
      <scheme val="minor"/>
    </font>
    <font>
      <b/>
      <sz val="12"/>
      <color theme="0"/>
      <name val="맑은 고딕"/>
      <family val="2"/>
      <charset val="129"/>
      <scheme val="minor"/>
    </font>
    <font>
      <sz val="12"/>
      <color rgb="FFFF0000"/>
      <name val="맑은 고딕"/>
      <family val="2"/>
      <charset val="129"/>
      <scheme val="minor"/>
    </font>
    <font>
      <i/>
      <sz val="12"/>
      <color rgb="FF7F7F7F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2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4539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44A63C2-43DF-CF4D-ABDB-C26C0BD086D4}"/>
                </a:ext>
              </a:extLst>
            </xdr:cNvPr>
            <xdr:cNvSpPr txBox="1"/>
          </xdr:nvSpPr>
          <xdr:spPr>
            <a:xfrm>
              <a:off x="0" y="32004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44A63C2-43DF-CF4D-ABDB-C26C0BD086D4}"/>
                </a:ext>
              </a:extLst>
            </xdr:cNvPr>
            <xdr:cNvSpPr txBox="1"/>
          </xdr:nvSpPr>
          <xdr:spPr>
            <a:xfrm>
              <a:off x="0" y="32004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18</xdr:row>
      <xdr:rowOff>0</xdr:rowOff>
    </xdr:from>
    <xdr:ext cx="1049454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0CCE5314-98EE-A441-8382-312D3DE1A0DB}"/>
                </a:ext>
              </a:extLst>
            </xdr:cNvPr>
            <xdr:cNvSpPr txBox="1"/>
          </xdr:nvSpPr>
          <xdr:spPr>
            <a:xfrm>
              <a:off x="0" y="41148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𝜇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0CCE5314-98EE-A441-8382-312D3DE1A0DB}"/>
                </a:ext>
              </a:extLst>
            </xdr:cNvPr>
            <xdr:cNvSpPr txBox="1"/>
          </xdr:nvSpPr>
          <xdr:spPr>
            <a:xfrm>
              <a:off x="0" y="41148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(𝑛_𝑖⋅𝜇_𝑖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19</xdr:row>
      <xdr:rowOff>0</xdr:rowOff>
    </xdr:from>
    <xdr:ext cx="806503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80EAC1E2-EC3B-7943-9874-6824C558B584}"/>
                </a:ext>
              </a:extLst>
            </xdr:cNvPr>
            <xdr:cNvSpPr txBox="1"/>
          </xdr:nvSpPr>
          <xdr:spPr>
            <a:xfrm>
              <a:off x="0" y="43434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80EAC1E2-EC3B-7943-9874-6824C558B584}"/>
                </a:ext>
              </a:extLst>
            </xdr:cNvPr>
            <xdr:cNvSpPr txBox="1"/>
          </xdr:nvSpPr>
          <xdr:spPr>
            <a:xfrm>
              <a:off x="0" y="43434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1</xdr:colOff>
      <xdr:row>8</xdr:row>
      <xdr:rowOff>0</xdr:rowOff>
    </xdr:from>
    <xdr:ext cx="254000" cy="34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93A06876-3081-C649-BA11-46457DBB3B93}"/>
                </a:ext>
              </a:extLst>
            </xdr:cNvPr>
            <xdr:cNvSpPr txBox="1"/>
          </xdr:nvSpPr>
          <xdr:spPr>
            <a:xfrm>
              <a:off x="1" y="1828800"/>
              <a:ext cx="2540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93A06876-3081-C649-BA11-46457DBB3B93}"/>
                </a:ext>
              </a:extLst>
            </xdr:cNvPr>
            <xdr:cNvSpPr txBox="1"/>
          </xdr:nvSpPr>
          <xdr:spPr>
            <a:xfrm>
              <a:off x="1" y="1828800"/>
              <a:ext cx="2540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8</xdr:row>
      <xdr:rowOff>0</xdr:rowOff>
    </xdr:from>
    <xdr:ext cx="254000" cy="34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A1703BB-CA94-B840-A3F6-F0DF55DCCB16}"/>
                </a:ext>
              </a:extLst>
            </xdr:cNvPr>
            <xdr:cNvSpPr txBox="1"/>
          </xdr:nvSpPr>
          <xdr:spPr>
            <a:xfrm>
              <a:off x="2120900" y="1828800"/>
              <a:ext cx="2540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A1703BB-CA94-B840-A3F6-F0DF55DCCB16}"/>
                </a:ext>
              </a:extLst>
            </xdr:cNvPr>
            <xdr:cNvSpPr txBox="1"/>
          </xdr:nvSpPr>
          <xdr:spPr>
            <a:xfrm>
              <a:off x="2120900" y="1828800"/>
              <a:ext cx="2540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8</xdr:row>
      <xdr:rowOff>0</xdr:rowOff>
    </xdr:from>
    <xdr:ext cx="177800" cy="34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837B8A6-5E5B-074C-91B3-0265D62CECD3}"/>
                </a:ext>
              </a:extLst>
            </xdr:cNvPr>
            <xdr:cNvSpPr txBox="1"/>
          </xdr:nvSpPr>
          <xdr:spPr>
            <a:xfrm>
              <a:off x="3314700" y="1828800"/>
              <a:ext cx="1778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837B8A6-5E5B-074C-91B3-0265D62CECD3}"/>
                </a:ext>
              </a:extLst>
            </xdr:cNvPr>
            <xdr:cNvSpPr txBox="1"/>
          </xdr:nvSpPr>
          <xdr:spPr>
            <a:xfrm>
              <a:off x="3314700" y="1828800"/>
              <a:ext cx="1778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19</xdr:row>
      <xdr:rowOff>226785</xdr:rowOff>
    </xdr:from>
    <xdr:ext cx="1303947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ED92D30B-3A44-094C-AB83-A1106EB2835F}"/>
                </a:ext>
              </a:extLst>
            </xdr:cNvPr>
            <xdr:cNvSpPr txBox="1"/>
          </xdr:nvSpPr>
          <xdr:spPr>
            <a:xfrm>
              <a:off x="0" y="4570185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ED92D30B-3A44-094C-AB83-A1106EB2835F}"/>
                </a:ext>
              </a:extLst>
            </xdr:cNvPr>
            <xdr:cNvSpPr txBox="1"/>
          </xdr:nvSpPr>
          <xdr:spPr>
            <a:xfrm>
              <a:off x="0" y="4570185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𝜇_𝑡𝑜𝑡𝑎𝑙=(Σ_(𝑖=1)^𝑘 (𝑛_𝑖⋅𝜇_𝑖 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23</xdr:row>
      <xdr:rowOff>0</xdr:rowOff>
    </xdr:from>
    <xdr:ext cx="241300" cy="5270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A163E865-CCB8-5B40-AB90-CE9B37940EA9}"/>
                </a:ext>
              </a:extLst>
            </xdr:cNvPr>
            <xdr:cNvSpPr txBox="1"/>
          </xdr:nvSpPr>
          <xdr:spPr>
            <a:xfrm>
              <a:off x="0" y="52578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A163E865-CCB8-5B40-AB90-CE9B37940EA9}"/>
                </a:ext>
              </a:extLst>
            </xdr:cNvPr>
            <xdr:cNvSpPr txBox="1"/>
          </xdr:nvSpPr>
          <xdr:spPr>
            <a:xfrm>
              <a:off x="0" y="52578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26</xdr:row>
      <xdr:rowOff>226785</xdr:rowOff>
    </xdr:from>
    <xdr:ext cx="253787" cy="5273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FB0FF7A9-716B-BF41-9901-964AC81B8B57}"/>
                </a:ext>
              </a:extLst>
            </xdr:cNvPr>
            <xdr:cNvSpPr txBox="1"/>
          </xdr:nvSpPr>
          <xdr:spPr>
            <a:xfrm>
              <a:off x="0" y="6170385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FB0FF7A9-716B-BF41-9901-964AC81B8B57}"/>
                </a:ext>
              </a:extLst>
            </xdr:cNvPr>
            <xdr:cNvSpPr txBox="1"/>
          </xdr:nvSpPr>
          <xdr:spPr>
            <a:xfrm>
              <a:off x="0" y="6170385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31</xdr:row>
      <xdr:rowOff>0</xdr:rowOff>
    </xdr:from>
    <xdr:ext cx="1056379" cy="28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7621BAEA-9970-FA4C-AC2F-0B2EA94348CB}"/>
                </a:ext>
              </a:extLst>
            </xdr:cNvPr>
            <xdr:cNvSpPr txBox="1"/>
          </xdr:nvSpPr>
          <xdr:spPr>
            <a:xfrm>
              <a:off x="0" y="7086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7621BAEA-9970-FA4C-AC2F-0B2EA94348CB}"/>
                </a:ext>
              </a:extLst>
            </xdr:cNvPr>
            <xdr:cNvSpPr txBox="1"/>
          </xdr:nvSpPr>
          <xdr:spPr>
            <a:xfrm>
              <a:off x="0" y="7086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𝐸[𝑋_𝑖^2 ]=𝜎_𝑖^2+𝜇_𝑖^2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35</xdr:row>
      <xdr:rowOff>0</xdr:rowOff>
    </xdr:from>
    <xdr:ext cx="726930" cy="2648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5DB90FD1-F9DB-4B4B-8DD1-E41A6A2DDECC}"/>
                </a:ext>
              </a:extLst>
            </xdr:cNvPr>
            <xdr:cNvSpPr txBox="1"/>
          </xdr:nvSpPr>
          <xdr:spPr>
            <a:xfrm>
              <a:off x="0" y="80010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5DB90FD1-F9DB-4B4B-8DD1-E41A6A2DDECC}"/>
                </a:ext>
              </a:extLst>
            </xdr:cNvPr>
            <xdr:cNvSpPr txBox="1"/>
          </xdr:nvSpPr>
          <xdr:spPr>
            <a:xfrm>
              <a:off x="0" y="80010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𝑛_𝑖⋅𝐸[𝑋_𝑖^2 ]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39</xdr:row>
      <xdr:rowOff>0</xdr:rowOff>
    </xdr:from>
    <xdr:ext cx="1014380" cy="244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47F2C84-2B9D-0240-9692-D4081747DB3F}"/>
                </a:ext>
              </a:extLst>
            </xdr:cNvPr>
            <xdr:cNvSpPr txBox="1"/>
          </xdr:nvSpPr>
          <xdr:spPr>
            <a:xfrm>
              <a:off x="0" y="89154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e>
                        </m:d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47F2C84-2B9D-0240-9692-D4081747DB3F}"/>
                </a:ext>
              </a:extLst>
            </xdr:cNvPr>
            <xdr:cNvSpPr txBox="1"/>
          </xdr:nvSpPr>
          <xdr:spPr>
            <a:xfrm>
              <a:off x="0" y="89154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(𝑛_𝑖⋅𝐸[𝑋_𝑖^2 ])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40</xdr:row>
      <xdr:rowOff>0</xdr:rowOff>
    </xdr:from>
    <xdr:ext cx="1759858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3F860B62-8154-0046-BDC5-3A3576B1738F}"/>
                </a:ext>
              </a:extLst>
            </xdr:cNvPr>
            <xdr:cNvSpPr txBox="1"/>
          </xdr:nvSpPr>
          <xdr:spPr>
            <a:xfrm>
              <a:off x="0" y="91440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Sup>
                                  <m:sSubSup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3F860B62-8154-0046-BDC5-3A3576B1738F}"/>
                </a:ext>
              </a:extLst>
            </xdr:cNvPr>
            <xdr:cNvSpPr txBox="1"/>
          </xdr:nvSpPr>
          <xdr:spPr>
            <a:xfrm>
              <a:off x="0" y="91440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〖𝐸[𝑋^2 ]〗_𝑡𝑜𝑡𝑎𝑙=(Σ_(𝑖=1)^𝑘 (𝑛_𝑖⋅𝐸[𝑋_𝑖^2 ]))/(Σ_(𝑖=1)^𝑘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43</xdr:row>
      <xdr:rowOff>0</xdr:rowOff>
    </xdr:from>
    <xdr:ext cx="2239972" cy="2485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731B6C49-DFF0-0846-9F90-180372B22147}"/>
                </a:ext>
              </a:extLst>
            </xdr:cNvPr>
            <xdr:cNvSpPr txBox="1"/>
          </xdr:nvSpPr>
          <xdr:spPr>
            <a:xfrm>
              <a:off x="0" y="98298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731B6C49-DFF0-0846-9F90-180372B22147}"/>
                </a:ext>
              </a:extLst>
            </xdr:cNvPr>
            <xdr:cNvSpPr txBox="1"/>
          </xdr:nvSpPr>
          <xdr:spPr>
            <a:xfrm>
              <a:off x="0" y="98298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𝜎_𝑡𝑜𝑡𝑎𝑙^2=𝐸[𝑋^2 ]_𝑡𝑜𝑡𝑎𝑙−(𝜇_𝑡𝑜𝑡𝑎𝑙 )^2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45</xdr:row>
      <xdr:rowOff>0</xdr:rowOff>
    </xdr:from>
    <xdr:ext cx="1559722" cy="5533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51F90F9C-E05C-2E4A-8A5B-A25787FFEE5D}"/>
                </a:ext>
              </a:extLst>
            </xdr:cNvPr>
            <xdr:cNvSpPr txBox="1"/>
          </xdr:nvSpPr>
          <xdr:spPr>
            <a:xfrm>
              <a:off x="0" y="102870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ln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(1+</m:t>
                        </m:r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𝜎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num>
                          <m:den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𝜇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𝑡𝑜𝑡𝑎𝑙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51F90F9C-E05C-2E4A-8A5B-A25787FFEE5D}"/>
                </a:ext>
              </a:extLst>
            </xdr:cNvPr>
            <xdr:cNvSpPr txBox="1"/>
          </xdr:nvSpPr>
          <xdr:spPr>
            <a:xfrm>
              <a:off x="0" y="102870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𝜎_𝑙𝑜𝑔=√(ln(1+(𝜎_𝑡𝑜𝑡𝑎𝑙^2)/〖𝜇_𝑡𝑜𝑡𝑎𝑙〗^2 ))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48</xdr:row>
      <xdr:rowOff>1</xdr:rowOff>
    </xdr:from>
    <xdr:ext cx="1559722" cy="4535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F5059728-A4E7-E149-895C-514D9EF81B98}"/>
                </a:ext>
              </a:extLst>
            </xdr:cNvPr>
            <xdr:cNvSpPr txBox="1"/>
          </xdr:nvSpPr>
          <xdr:spPr>
            <a:xfrm>
              <a:off x="0" y="10972801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ln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)−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𝜎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log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F5059728-A4E7-E149-895C-514D9EF81B98}"/>
                </a:ext>
              </a:extLst>
            </xdr:cNvPr>
            <xdr:cNvSpPr txBox="1"/>
          </xdr:nvSpPr>
          <xdr:spPr>
            <a:xfrm>
              <a:off x="0" y="10972801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𝜇_𝑙𝑜𝑔=ln(𝜇_𝑡𝑜𝑡𝑎𝑙)−(𝜎_log^2)/2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51</xdr:row>
      <xdr:rowOff>0</xdr:rowOff>
    </xdr:from>
    <xdr:ext cx="2071786" cy="1829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88C4F0D9-24CE-5245-A884-58BBD03DEB82}"/>
                </a:ext>
              </a:extLst>
            </xdr:cNvPr>
            <xdr:cNvSpPr txBox="1"/>
          </xdr:nvSpPr>
          <xdr:spPr>
            <a:xfrm>
              <a:off x="0" y="116586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p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95=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exp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+1.64485 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ko-KR" alt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88C4F0D9-24CE-5245-A884-58BBD03DEB82}"/>
                </a:ext>
              </a:extLst>
            </xdr:cNvPr>
            <xdr:cNvSpPr txBox="1"/>
          </xdr:nvSpPr>
          <xdr:spPr>
            <a:xfrm>
              <a:off x="0" y="116586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p95="exp(" 𝜇_𝑙𝑜𝑔+1.64485 ⋅𝜎_𝑙𝑜𝑔 ")</a:t>
              </a:r>
              <a:r>
                <a:rPr lang="ko-KR" altLang="en-US" sz="1100" b="0" i="0">
                  <a:latin typeface="Cambria Math" panose="02040503050406030204" pitchFamily="18" charset="0"/>
                </a:rPr>
                <a:t>"</a:t>
              </a:r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14</xdr:row>
      <xdr:rowOff>0</xdr:rowOff>
    </xdr:from>
    <xdr:ext cx="738151" cy="35509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7F50AAF-C806-F54D-896C-27C120761632}"/>
                </a:ext>
              </a:extLst>
            </xdr:cNvPr>
            <xdr:cNvSpPr txBox="1"/>
          </xdr:nvSpPr>
          <xdr:spPr>
            <a:xfrm>
              <a:off x="4089400" y="3200400"/>
              <a:ext cx="738151" cy="3550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7F50AAF-C806-F54D-896C-27C120761632}"/>
                </a:ext>
              </a:extLst>
            </xdr:cNvPr>
            <xdr:cNvSpPr txBox="1"/>
          </xdr:nvSpPr>
          <xdr:spPr>
            <a:xfrm>
              <a:off x="4089400" y="3200400"/>
              <a:ext cx="738151" cy="3550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(𝑛_𝑖−1) </a:t>
              </a:r>
              <a:r>
                <a:rPr lang="en-US" altLang="ko-KR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n-US" altLang="ko-KR" sz="1100" b="0" i="0">
                  <a:latin typeface="Cambria Math" panose="02040503050406030204" pitchFamily="18" charset="0"/>
                </a:rPr>
                <a:t>𝑖^2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18</xdr:row>
      <xdr:rowOff>0</xdr:rowOff>
    </xdr:from>
    <xdr:ext cx="1599284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B817FA9-51D6-994D-AE36-0C7463A76762}"/>
                </a:ext>
              </a:extLst>
            </xdr:cNvPr>
            <xdr:cNvSpPr txBox="1"/>
          </xdr:nvSpPr>
          <xdr:spPr>
            <a:xfrm>
              <a:off x="4089400" y="4114800"/>
              <a:ext cx="159928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𝑆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𝑤𝑖𝑡h𝑖𝑛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B817FA9-51D6-994D-AE36-0C7463A76762}"/>
                </a:ext>
              </a:extLst>
            </xdr:cNvPr>
            <xdr:cNvSpPr txBox="1"/>
          </xdr:nvSpPr>
          <xdr:spPr>
            <a:xfrm>
              <a:off x="4089400" y="4114800"/>
              <a:ext cx="159928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𝑆𝑆_𝑤𝑖𝑡ℎ𝑖𝑛=Σ_(𝑖=1)^2 (𝑛_𝑖−1) 𝜎_𝑖^2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20</xdr:row>
      <xdr:rowOff>0</xdr:rowOff>
    </xdr:from>
    <xdr:ext cx="964816" cy="1772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107A206-2CD8-004B-89BC-D18194CD7FF9}"/>
                </a:ext>
              </a:extLst>
            </xdr:cNvPr>
            <xdr:cNvSpPr txBox="1"/>
          </xdr:nvSpPr>
          <xdr:spPr>
            <a:xfrm>
              <a:off x="4089400" y="4572000"/>
              <a:ext cx="96481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107A206-2CD8-004B-89BC-D18194CD7FF9}"/>
                </a:ext>
              </a:extLst>
            </xdr:cNvPr>
            <xdr:cNvSpPr txBox="1"/>
          </xdr:nvSpPr>
          <xdr:spPr>
            <a:xfrm>
              <a:off x="4089400" y="4572000"/>
              <a:ext cx="96481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 (𝜇_𝑖−𝜇_𝑡𝑜𝑡𝑎𝑙 )^2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24</xdr:row>
      <xdr:rowOff>0</xdr:rowOff>
    </xdr:from>
    <xdr:ext cx="1984902" cy="18678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6563638-59C2-C144-AB91-74E0272B397E}"/>
                </a:ext>
              </a:extLst>
            </xdr:cNvPr>
            <xdr:cNvSpPr txBox="1"/>
          </xdr:nvSpPr>
          <xdr:spPr>
            <a:xfrm>
              <a:off x="4089400" y="5486400"/>
              <a:ext cx="1984902" cy="1867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𝑆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𝑏𝑒𝑡𝑤𝑒𝑒𝑛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6563638-59C2-C144-AB91-74E0272B397E}"/>
                </a:ext>
              </a:extLst>
            </xdr:cNvPr>
            <xdr:cNvSpPr txBox="1"/>
          </xdr:nvSpPr>
          <xdr:spPr>
            <a:xfrm>
              <a:off x="4089400" y="5486400"/>
              <a:ext cx="1984902" cy="1867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𝑆𝑆_𝑏𝑒𝑡𝑤𝑒𝑒𝑛=Σ_(𝑖=1)^𝑘 𝑛_𝑖 (𝜇_𝑖−𝜇_𝑡𝑜𝑡𝑎𝑙 )^2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26</xdr:row>
      <xdr:rowOff>0</xdr:rowOff>
    </xdr:from>
    <xdr:ext cx="1842235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FB7C941-3D83-6743-ADCB-073BC61AF204}"/>
                </a:ext>
              </a:extLst>
            </xdr:cNvPr>
            <xdr:cNvSpPr txBox="1"/>
          </xdr:nvSpPr>
          <xdr:spPr>
            <a:xfrm>
              <a:off x="4089400" y="5943600"/>
              <a:ext cx="184223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total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SS</m:t>
                                </m:r>
                              </m:e>
                              <m:sub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within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SS</m:t>
                                </m:r>
                              </m:e>
                              <m:sub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between</m:t>
                                </m:r>
                              </m:sub>
                            </m:sSub>
                          </m:num>
                          <m:den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N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ko-KR" altLang="en-US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FB7C941-3D83-6743-ADCB-073BC61AF204}"/>
                </a:ext>
              </a:extLst>
            </xdr:cNvPr>
            <xdr:cNvSpPr txBox="1"/>
          </xdr:nvSpPr>
          <xdr:spPr>
            <a:xfrm>
              <a:off x="4089400" y="5943600"/>
              <a:ext cx="184223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n-US" altLang="ko-KR" sz="1100" b="0" i="0">
                  <a:latin typeface="Cambria Math" panose="02040503050406030204" pitchFamily="18" charset="0"/>
                </a:rPr>
                <a:t>total=√((SS_within+SS_between)/(N−1))</a:t>
              </a:r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29</xdr:row>
      <xdr:rowOff>0</xdr:rowOff>
    </xdr:from>
    <xdr:ext cx="438710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ADFEFC4-8D1F-E84C-BAB3-72D9A4E2BD07}"/>
                </a:ext>
              </a:extLst>
            </xdr:cNvPr>
            <xdr:cNvSpPr txBox="1"/>
          </xdr:nvSpPr>
          <xdr:spPr>
            <a:xfrm>
              <a:off x="4089400" y="6629400"/>
              <a:ext cx="43871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2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ADFEFC4-8D1F-E84C-BAB3-72D9A4E2BD07}"/>
                </a:ext>
              </a:extLst>
            </xdr:cNvPr>
            <xdr:cNvSpPr txBox="1"/>
          </xdr:nvSpPr>
          <xdr:spPr>
            <a:xfrm>
              <a:off x="4089400" y="6629400"/>
              <a:ext cx="43871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2𝜎_𝑡𝑜𝑡𝑎𝑙</a:t>
              </a:r>
              <a:endParaRPr lang="en-US" altLang="ko-KR" sz="1100" b="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93D92-1AAD-1240-BFC4-E469E8D1760E}">
  <dimension ref="A1:M53"/>
  <sheetViews>
    <sheetView tabSelected="1" workbookViewId="0">
      <selection activeCell="D6" sqref="D6"/>
    </sheetView>
  </sheetViews>
  <sheetFormatPr baseColWidth="10" defaultRowHeight="18"/>
  <cols>
    <col min="1" max="1" width="25.85546875" customWidth="1"/>
    <col min="2" max="2" width="12.7109375" bestFit="1" customWidth="1"/>
    <col min="3" max="3" width="8.7109375" bestFit="1" customWidth="1"/>
    <col min="4" max="4" width="23.140625" customWidth="1"/>
    <col min="5" max="5" width="18.85546875" bestFit="1" customWidth="1"/>
    <col min="6" max="6" width="30.5703125" bestFit="1" customWidth="1"/>
    <col min="7" max="7" width="6.7109375" bestFit="1" customWidth="1"/>
    <col min="8" max="8" width="19.7109375" bestFit="1" customWidth="1"/>
    <col min="9" max="9" width="23.85546875" bestFit="1" customWidth="1"/>
    <col min="10" max="10" width="14" bestFit="1" customWidth="1"/>
    <col min="11" max="11" width="23.42578125" bestFit="1" customWidth="1"/>
    <col min="12" max="12" width="30.7109375" bestFit="1" customWidth="1"/>
    <col min="13" max="13" width="20.71093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s="1">
        <v>46110.731539351851</v>
      </c>
      <c r="B2">
        <v>390</v>
      </c>
      <c r="C2">
        <v>279</v>
      </c>
      <c r="D2">
        <v>0</v>
      </c>
      <c r="E2">
        <v>662.20100000000002</v>
      </c>
      <c r="F2">
        <v>395.20400000000001</v>
      </c>
      <c r="G2">
        <v>139.5</v>
      </c>
      <c r="H2">
        <v>104.785</v>
      </c>
      <c r="I2">
        <v>14617.5</v>
      </c>
      <c r="J2">
        <v>79</v>
      </c>
      <c r="K2">
        <v>0</v>
      </c>
      <c r="L2">
        <v>198.649</v>
      </c>
      <c r="M2">
        <v>256.20400000000001</v>
      </c>
    </row>
    <row r="3" spans="1:13">
      <c r="A3" s="1">
        <v>46110.731562499997</v>
      </c>
      <c r="B3">
        <v>22</v>
      </c>
      <c r="C3">
        <v>205</v>
      </c>
      <c r="D3">
        <v>0</v>
      </c>
      <c r="E3">
        <v>731.90700000000004</v>
      </c>
      <c r="F3">
        <v>356.59699999999998</v>
      </c>
      <c r="G3">
        <v>102.5</v>
      </c>
      <c r="H3">
        <v>165</v>
      </c>
      <c r="I3">
        <v>16912.5</v>
      </c>
      <c r="J3">
        <v>205</v>
      </c>
      <c r="K3">
        <v>0</v>
      </c>
      <c r="L3">
        <v>179.244</v>
      </c>
      <c r="M3">
        <v>263.42</v>
      </c>
    </row>
    <row r="4" spans="1:13">
      <c r="A4" s="1">
        <v>46110.731585648151</v>
      </c>
      <c r="B4">
        <v>2</v>
      </c>
      <c r="C4">
        <v>14</v>
      </c>
      <c r="D4">
        <v>0</v>
      </c>
      <c r="E4">
        <v>6.9290000000000003</v>
      </c>
      <c r="F4">
        <v>2.0169999999999999</v>
      </c>
      <c r="G4">
        <v>7</v>
      </c>
      <c r="H4">
        <v>165</v>
      </c>
      <c r="I4">
        <v>1155</v>
      </c>
      <c r="J4">
        <v>14</v>
      </c>
      <c r="K4">
        <v>0</v>
      </c>
      <c r="L4">
        <v>2.0710000000000002</v>
      </c>
      <c r="M4">
        <v>3.1429999999999998</v>
      </c>
    </row>
    <row r="5" spans="1:13">
      <c r="A5" s="1">
        <v>46110.731608796297</v>
      </c>
      <c r="B5">
        <v>0</v>
      </c>
      <c r="C5">
        <v>2</v>
      </c>
      <c r="D5">
        <v>0</v>
      </c>
      <c r="E5">
        <v>11.5</v>
      </c>
      <c r="F5">
        <v>1.5</v>
      </c>
      <c r="G5">
        <v>1</v>
      </c>
      <c r="H5">
        <v>165</v>
      </c>
      <c r="I5">
        <v>165</v>
      </c>
      <c r="J5">
        <v>2</v>
      </c>
      <c r="K5">
        <v>0</v>
      </c>
      <c r="L5">
        <v>4</v>
      </c>
      <c r="M5">
        <v>5.5</v>
      </c>
    </row>
    <row r="10" spans="1:13">
      <c r="A10">
        <f>C2</f>
        <v>279</v>
      </c>
      <c r="B10">
        <f t="shared" ref="B10:C13" si="0">E2</f>
        <v>662.20100000000002</v>
      </c>
      <c r="C10">
        <f t="shared" si="0"/>
        <v>395.20400000000001</v>
      </c>
    </row>
    <row r="11" spans="1:13">
      <c r="A11">
        <f>C3</f>
        <v>205</v>
      </c>
      <c r="B11">
        <f t="shared" si="0"/>
        <v>731.90700000000004</v>
      </c>
      <c r="C11">
        <f t="shared" si="0"/>
        <v>356.59699999999998</v>
      </c>
    </row>
    <row r="12" spans="1:13">
      <c r="A12">
        <f>C4</f>
        <v>14</v>
      </c>
      <c r="B12">
        <f t="shared" si="0"/>
        <v>6.9290000000000003</v>
      </c>
      <c r="C12">
        <f t="shared" si="0"/>
        <v>2.0169999999999999</v>
      </c>
    </row>
    <row r="13" spans="1:13">
      <c r="A13">
        <f>C5</f>
        <v>2</v>
      </c>
      <c r="B13">
        <f t="shared" si="0"/>
        <v>11.5</v>
      </c>
      <c r="C13">
        <f t="shared" si="0"/>
        <v>1.5</v>
      </c>
    </row>
    <row r="15" spans="1:13">
      <c r="B15">
        <f>A10*B10</f>
        <v>184754.079</v>
      </c>
      <c r="E15">
        <f>(A10-1)*POWER(C10,2)</f>
        <v>43419764.049248002</v>
      </c>
    </row>
    <row r="16" spans="1:13">
      <c r="B16">
        <f>A11*B11</f>
        <v>150040.935</v>
      </c>
      <c r="E16">
        <f>(A11-1)*POWER(C11,2)</f>
        <v>25940929.763435997</v>
      </c>
    </row>
    <row r="17" spans="2:5">
      <c r="B17">
        <f>A12*B12</f>
        <v>97.006</v>
      </c>
      <c r="E17">
        <f>(A12-1)*POWER(C12,2)</f>
        <v>52.887757000000001</v>
      </c>
    </row>
    <row r="18" spans="2:5">
      <c r="B18">
        <f>A13*B13</f>
        <v>23</v>
      </c>
      <c r="E18">
        <f>(A13-1)*POWER(C13,2)</f>
        <v>2.25</v>
      </c>
    </row>
    <row r="19" spans="2:5">
      <c r="B19">
        <f>SUM(B15:B18)</f>
        <v>334915.01999999996</v>
      </c>
      <c r="E19">
        <f>SUM(E15:E18)</f>
        <v>69360748.950441003</v>
      </c>
    </row>
    <row r="20" spans="2:5">
      <c r="B20">
        <f>SUM(A10:A13)</f>
        <v>500</v>
      </c>
    </row>
    <row r="21" spans="2:5">
      <c r="B21">
        <f>B19/B20</f>
        <v>669.83003999999994</v>
      </c>
      <c r="E21">
        <f>A10*POWER((B10-B$21),2)</f>
        <v>16238.428118726051</v>
      </c>
    </row>
    <row r="22" spans="2:5">
      <c r="B22">
        <f>ROUND(B21,2)</f>
        <v>669.83</v>
      </c>
      <c r="E22">
        <f>A11*POWER((B11-B$21),2)</f>
        <v>789977.53738253051</v>
      </c>
    </row>
    <row r="23" spans="2:5">
      <c r="E23">
        <f>A12*POWER((B12-B$21),2)</f>
        <v>6152129.0436631413</v>
      </c>
    </row>
    <row r="24" spans="2:5">
      <c r="B24">
        <f>POWER(C10,2)</f>
        <v>156186.20161600001</v>
      </c>
      <c r="E24">
        <f>A13*POWER((B13-B$21),2)</f>
        <v>866796.88313280302</v>
      </c>
    </row>
    <row r="25" spans="2:5">
      <c r="B25">
        <f>POWER(C11,2)</f>
        <v>127161.42040899998</v>
      </c>
      <c r="E25">
        <f>SUM(E21:E24)</f>
        <v>7825141.8922972009</v>
      </c>
    </row>
    <row r="26" spans="2:5">
      <c r="B26">
        <f>POWER(C12,2)</f>
        <v>4.068289</v>
      </c>
    </row>
    <row r="27" spans="2:5">
      <c r="B27">
        <f>POWER(C13,2)</f>
        <v>2.25</v>
      </c>
      <c r="E27">
        <f>SQRT((E19+E25)/(B20-1))</f>
        <v>393.29523766939161</v>
      </c>
    </row>
    <row r="28" spans="2:5">
      <c r="B28">
        <f>POWER(B10,2)</f>
        <v>438510.16440100002</v>
      </c>
      <c r="E28">
        <f>ROUND(E27,2)</f>
        <v>393.3</v>
      </c>
    </row>
    <row r="29" spans="2:5">
      <c r="B29">
        <f>POWER(B11,2)</f>
        <v>535687.85664900008</v>
      </c>
    </row>
    <row r="30" spans="2:5">
      <c r="B30">
        <f>POWER(B12,2)</f>
        <v>48.011041000000006</v>
      </c>
      <c r="E30">
        <f>2*E27</f>
        <v>786.59047533878322</v>
      </c>
    </row>
    <row r="31" spans="2:5">
      <c r="B31">
        <f>POWER(B13,2)</f>
        <v>132.25</v>
      </c>
      <c r="E31">
        <f>ROUND(E30,2)</f>
        <v>786.59</v>
      </c>
    </row>
    <row r="32" spans="2:5">
      <c r="B32">
        <f>B24+B28</f>
        <v>594696.36601700005</v>
      </c>
    </row>
    <row r="33" spans="2:2">
      <c r="B33">
        <f>B25+B29</f>
        <v>662849.27705800009</v>
      </c>
    </row>
    <row r="34" spans="2:2">
      <c r="B34">
        <f>B26+B30</f>
        <v>52.079330000000006</v>
      </c>
    </row>
    <row r="35" spans="2:2">
      <c r="B35">
        <f>B27+B31</f>
        <v>134.5</v>
      </c>
    </row>
    <row r="36" spans="2:2">
      <c r="B36">
        <f>A10*B32</f>
        <v>165920286.118743</v>
      </c>
    </row>
    <row r="37" spans="2:2">
      <c r="B37">
        <f>A11*B33</f>
        <v>135884101.79689002</v>
      </c>
    </row>
    <row r="38" spans="2:2">
      <c r="B38">
        <f>A12*B34</f>
        <v>729.11062000000004</v>
      </c>
    </row>
    <row r="39" spans="2:2">
      <c r="B39">
        <f>A13*B35</f>
        <v>269</v>
      </c>
    </row>
    <row r="40" spans="2:2">
      <c r="B40">
        <f>SUM(B36:B39)</f>
        <v>301805386.02625304</v>
      </c>
    </row>
    <row r="41" spans="2:2">
      <c r="B41">
        <f>B40/B20</f>
        <v>603610.7720525061</v>
      </c>
    </row>
    <row r="44" spans="2:2">
      <c r="B44">
        <f>B41-POWER(B21,2)</f>
        <v>154938.4895661046</v>
      </c>
    </row>
    <row r="46" spans="2:2">
      <c r="B46">
        <f>SQRT(LN(1+B44/POWER(B21,2)))</f>
        <v>0.54464376883713517</v>
      </c>
    </row>
    <row r="49" spans="2:2">
      <c r="B49">
        <f>LN(B21)-POWER(B46,2)/2</f>
        <v>6.3587055910965677</v>
      </c>
    </row>
    <row r="52" spans="2:2">
      <c r="B52">
        <f>EXP(B49+1.64485*B46)</f>
        <v>1414.5445624404613</v>
      </c>
    </row>
    <row r="53" spans="2:2">
      <c r="B53">
        <f>ROUND(B52,2)</f>
        <v>1414.54</v>
      </c>
    </row>
  </sheetData>
  <phoneticPr fontId="1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pessimistic-lock-500-ngrinder-r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함상현</dc:creator>
  <cp:lastModifiedBy>함상현</cp:lastModifiedBy>
  <dcterms:created xsi:type="dcterms:W3CDTF">2026-03-29T19:37:19Z</dcterms:created>
  <dcterms:modified xsi:type="dcterms:W3CDTF">2026-03-31T11:14:06Z</dcterms:modified>
</cp:coreProperties>
</file>