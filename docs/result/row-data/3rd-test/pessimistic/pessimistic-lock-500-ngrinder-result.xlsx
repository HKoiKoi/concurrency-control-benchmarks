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3rd-test/pessimistic/"/>
    </mc:Choice>
  </mc:AlternateContent>
  <xr:revisionPtr revIDLastSave="0" documentId="13_ncr:1_{6A7800AA-74E5-A24A-95F4-4D7799831DE1}" xr6:coauthVersionLast="47" xr6:coauthVersionMax="47" xr10:uidLastSave="{00000000-0000-0000-0000-000000000000}"/>
  <bookViews>
    <workbookView xWindow="14700" yWindow="660" windowWidth="14700" windowHeight="18460" xr2:uid="{E183A82D-E7BE-C048-8629-DC2E35FE4921}"/>
  </bookViews>
  <sheets>
    <sheet name="pessimistic-lock-500-ngrinder-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8" i="1"/>
  <c r="B32" i="1" s="1"/>
  <c r="B27" i="1"/>
  <c r="B35" i="1" s="1"/>
  <c r="B39" i="1" s="1"/>
  <c r="B24" i="1"/>
  <c r="B18" i="1"/>
  <c r="B17" i="1"/>
  <c r="C13" i="1"/>
  <c r="B13" i="1"/>
  <c r="A13" i="1"/>
  <c r="C12" i="1"/>
  <c r="B26" i="1" s="1"/>
  <c r="B34" i="1" s="1"/>
  <c r="B38" i="1" s="1"/>
  <c r="B12" i="1"/>
  <c r="A12" i="1"/>
  <c r="C11" i="1"/>
  <c r="B25" i="1" s="1"/>
  <c r="B11" i="1"/>
  <c r="B29" i="1" s="1"/>
  <c r="A11" i="1"/>
  <c r="C10" i="1"/>
  <c r="B10" i="1"/>
  <c r="A10" i="1"/>
  <c r="B36" i="1" s="1"/>
  <c r="B33" i="1" l="1"/>
  <c r="B37" i="1" s="1"/>
  <c r="B40" i="1" s="1"/>
  <c r="B41" i="1" s="1"/>
  <c r="B44" i="1" s="1"/>
  <c r="B46" i="1" s="1"/>
  <c r="B20" i="1"/>
  <c r="B16" i="1"/>
  <c r="B15" i="1"/>
  <c r="B19" i="1" s="1"/>
  <c r="B21" i="1" s="1"/>
  <c r="B22" i="1" l="1"/>
  <c r="B49" i="1"/>
  <c r="B52" i="1" s="1"/>
  <c r="B53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<sst xmlns="http://schemas.openxmlformats.org/spreadsheetml/2006/main" count="13" uniqueCount="13">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</sst>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4539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44A63C2-43DF-CF4D-ABDB-C26C0BD086D4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44A63C2-43DF-CF4D-ABDB-C26C0BD086D4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1049454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CCE5314-98EE-A441-8382-312D3DE1A0DB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CCE5314-98EE-A441-8382-312D3DE1A0DB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0</xdr:rowOff>
    </xdr:from>
    <xdr:ext cx="806503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0EAC1E2-EC3B-7943-9874-6824C558B584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0EAC1E2-EC3B-7943-9874-6824C558B584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1</xdr:colOff>
      <xdr:row>8</xdr:row>
      <xdr:rowOff>0</xdr:rowOff>
    </xdr:from>
    <xdr:ext cx="254000" cy="34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3A06876-3081-C649-BA11-46457DBB3B93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3A06876-3081-C649-BA11-46457DBB3B93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8</xdr:row>
      <xdr:rowOff>0</xdr:rowOff>
    </xdr:from>
    <xdr:ext cx="254000" cy="34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A1703BB-CA94-B840-A3F6-F0DF55DCCB16}"/>
                </a:ext>
              </a:extLst>
            </xdr:cNvPr>
            <xdr:cNvSpPr txBox="1"/>
          </xdr:nvSpPr>
          <xdr:spPr>
            <a:xfrm>
              <a:off x="21209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A1703BB-CA94-B840-A3F6-F0DF55DCCB16}"/>
                </a:ext>
              </a:extLst>
            </xdr:cNvPr>
            <xdr:cNvSpPr txBox="1"/>
          </xdr:nvSpPr>
          <xdr:spPr>
            <a:xfrm>
              <a:off x="21209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8</xdr:row>
      <xdr:rowOff>0</xdr:rowOff>
    </xdr:from>
    <xdr:ext cx="177800" cy="34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837B8A6-5E5B-074C-91B3-0265D62CECD3}"/>
                </a:ext>
              </a:extLst>
            </xdr:cNvPr>
            <xdr:cNvSpPr txBox="1"/>
          </xdr:nvSpPr>
          <xdr:spPr>
            <a:xfrm>
              <a:off x="33147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837B8A6-5E5B-074C-91B3-0265D62CECD3}"/>
                </a:ext>
              </a:extLst>
            </xdr:cNvPr>
            <xdr:cNvSpPr txBox="1"/>
          </xdr:nvSpPr>
          <xdr:spPr>
            <a:xfrm>
              <a:off x="33147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226785</xdr:rowOff>
    </xdr:from>
    <xdr:ext cx="1303947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D92D30B-3A44-094C-AB83-A1106EB2835F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D92D30B-3A44-094C-AB83-A1106EB2835F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241300" cy="527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163E865-CCB8-5B40-AB90-CE9B37940EA9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163E865-CCB8-5B40-AB90-CE9B37940EA9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226785</xdr:rowOff>
    </xdr:from>
    <xdr:ext cx="253787" cy="5273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B0FF7A9-716B-BF41-9901-964AC81B8B57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B0FF7A9-716B-BF41-9901-964AC81B8B57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1056379" cy="28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621BAEA-9970-FA4C-AC2F-0B2EA94348CB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621BAEA-9970-FA4C-AC2F-0B2EA94348CB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726930" cy="2648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DB90FD1-F9DB-4B4B-8DD1-E41A6A2DDECC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DB90FD1-F9DB-4B4B-8DD1-E41A6A2DDECC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1014380" cy="244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47F2C84-2B9D-0240-9692-D4081747DB3F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47F2C84-2B9D-0240-9692-D4081747DB3F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40</xdr:row>
      <xdr:rowOff>0</xdr:rowOff>
    </xdr:from>
    <xdr:ext cx="1759858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3F860B62-8154-0046-BDC5-3A3576B1738F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3F860B62-8154-0046-BDC5-3A3576B1738F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43</xdr:row>
      <xdr:rowOff>0</xdr:rowOff>
    </xdr:from>
    <xdr:ext cx="2239972" cy="2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31B6C49-DFF0-0846-9F90-180372B22147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31B6C49-DFF0-0846-9F90-180372B22147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45</xdr:row>
      <xdr:rowOff>0</xdr:rowOff>
    </xdr:from>
    <xdr:ext cx="1559722" cy="5533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1F90F9C-E05C-2E4A-8A5B-A25787FFEE5D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1F90F9C-E05C-2E4A-8A5B-A25787FFEE5D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48</xdr:row>
      <xdr:rowOff>1</xdr:rowOff>
    </xdr:from>
    <xdr:ext cx="1559722" cy="4535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F5059728-A4E7-E149-895C-514D9EF81B98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F5059728-A4E7-E149-895C-514D9EF81B98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51</xdr:row>
      <xdr:rowOff>0</xdr:rowOff>
    </xdr:from>
    <xdr:ext cx="2071786" cy="182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8C4F0D9-24CE-5245-A884-58BBD03DEB82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8C4F0D9-24CE-5245-A884-58BBD03DEB82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93D92-1AAD-1240-BFC4-E469E8D1760E}">
  <dimension ref="A1:M53"/>
  <sheetViews>
    <sheetView tabSelected="1" workbookViewId="0">
      <selection activeCell="A8" sqref="A8:C55"/>
    </sheetView>
  </sheetViews>
  <sheetFormatPr baseColWidth="10" defaultRowHeight="18"/>
  <cols>
    <col min="1" max="1" width="25.8554687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46110.731539351851</v>
      </c>
      <c r="B2">
        <v>390</v>
      </c>
      <c r="C2">
        <v>279</v>
      </c>
      <c r="D2">
        <v>0</v>
      </c>
      <c r="E2">
        <v>662.20100000000002</v>
      </c>
      <c r="F2">
        <v>395.20400000000001</v>
      </c>
      <c r="G2">
        <v>139.5</v>
      </c>
      <c r="H2">
        <v>104.785</v>
      </c>
      <c r="I2">
        <v>14617.5</v>
      </c>
      <c r="J2">
        <v>79</v>
      </c>
      <c r="K2">
        <v>0</v>
      </c>
      <c r="L2">
        <v>198.649</v>
      </c>
      <c r="M2">
        <v>256.20400000000001</v>
      </c>
    </row>
    <row r="3" spans="1:13">
      <c r="A3" s="1">
        <v>46110.731562499997</v>
      </c>
      <c r="B3">
        <v>22</v>
      </c>
      <c r="C3">
        <v>205</v>
      </c>
      <c r="D3">
        <v>0</v>
      </c>
      <c r="E3">
        <v>731.90700000000004</v>
      </c>
      <c r="F3">
        <v>356.59699999999998</v>
      </c>
      <c r="G3">
        <v>102.5</v>
      </c>
      <c r="H3">
        <v>165</v>
      </c>
      <c r="I3">
        <v>16912.5</v>
      </c>
      <c r="J3">
        <v>205</v>
      </c>
      <c r="K3">
        <v>0</v>
      </c>
      <c r="L3">
        <v>179.244</v>
      </c>
      <c r="M3">
        <v>263.42</v>
      </c>
    </row>
    <row r="4" spans="1:13">
      <c r="A4" s="1">
        <v>46110.731585648151</v>
      </c>
      <c r="B4">
        <v>2</v>
      </c>
      <c r="C4">
        <v>14</v>
      </c>
      <c r="D4">
        <v>0</v>
      </c>
      <c r="E4">
        <v>6.9290000000000003</v>
      </c>
      <c r="F4">
        <v>2.0169999999999999</v>
      </c>
      <c r="G4">
        <v>7</v>
      </c>
      <c r="H4">
        <v>165</v>
      </c>
      <c r="I4">
        <v>1155</v>
      </c>
      <c r="J4">
        <v>14</v>
      </c>
      <c r="K4">
        <v>0</v>
      </c>
      <c r="L4">
        <v>2.0710000000000002</v>
      </c>
      <c r="M4">
        <v>3.1429999999999998</v>
      </c>
    </row>
    <row r="5" spans="1:13">
      <c r="A5" s="1">
        <v>46110.731608796297</v>
      </c>
      <c r="B5">
        <v>0</v>
      </c>
      <c r="C5">
        <v>2</v>
      </c>
      <c r="D5">
        <v>0</v>
      </c>
      <c r="E5">
        <v>11.5</v>
      </c>
      <c r="F5">
        <v>1.5</v>
      </c>
      <c r="G5">
        <v>1</v>
      </c>
      <c r="H5">
        <v>165</v>
      </c>
      <c r="I5">
        <v>165</v>
      </c>
      <c r="J5">
        <v>2</v>
      </c>
      <c r="K5">
        <v>0</v>
      </c>
      <c r="L5">
        <v>4</v>
      </c>
      <c r="M5">
        <v>5.5</v>
      </c>
    </row>
    <row r="10" spans="1:13">
      <c r="A10">
        <f>C2</f>
        <v>279</v>
      </c>
      <c r="B10">
        <f t="shared" ref="B10:C13" si="0">E2</f>
        <v>662.20100000000002</v>
      </c>
      <c r="C10">
        <f t="shared" si="0"/>
        <v>395.20400000000001</v>
      </c>
    </row>
    <row r="11" spans="1:13">
      <c r="A11">
        <f>C3</f>
        <v>205</v>
      </c>
      <c r="B11">
        <f t="shared" si="0"/>
        <v>731.90700000000004</v>
      </c>
      <c r="C11">
        <f t="shared" si="0"/>
        <v>356.59699999999998</v>
      </c>
    </row>
    <row r="12" spans="1:13">
      <c r="A12">
        <f>C4</f>
        <v>14</v>
      </c>
      <c r="B12">
        <f t="shared" si="0"/>
        <v>6.9290000000000003</v>
      </c>
      <c r="C12">
        <f t="shared" si="0"/>
        <v>2.0169999999999999</v>
      </c>
    </row>
    <row r="13" spans="1:13">
      <c r="A13">
        <f>C5</f>
        <v>2</v>
      </c>
      <c r="B13">
        <f t="shared" si="0"/>
        <v>11.5</v>
      </c>
      <c r="C13">
        <f t="shared" si="0"/>
        <v>1.5</v>
      </c>
    </row>
    <row r="15" spans="1:13">
      <c r="B15">
        <f>A10*B10</f>
        <v>184754.079</v>
      </c>
    </row>
    <row r="16" spans="1:13">
      <c r="B16">
        <f>A11*B11</f>
        <v>150040.935</v>
      </c>
    </row>
    <row r="17" spans="2:2">
      <c r="B17">
        <f>A12*B12</f>
        <v>97.006</v>
      </c>
    </row>
    <row r="18" spans="2:2">
      <c r="B18">
        <f>A13*B13</f>
        <v>23</v>
      </c>
    </row>
    <row r="19" spans="2:2">
      <c r="B19">
        <f>SUM(B15:B18)</f>
        <v>334915.01999999996</v>
      </c>
    </row>
    <row r="20" spans="2:2">
      <c r="B20">
        <f>SUM(A10:A13)</f>
        <v>500</v>
      </c>
    </row>
    <row r="21" spans="2:2">
      <c r="B21">
        <f>B19/B20</f>
        <v>669.83003999999994</v>
      </c>
    </row>
    <row r="22" spans="2:2">
      <c r="B22">
        <f>ROUND(B21,2)</f>
        <v>669.83</v>
      </c>
    </row>
    <row r="24" spans="2:2">
      <c r="B24">
        <f>POWER(C10,2)</f>
        <v>156186.20161600001</v>
      </c>
    </row>
    <row r="25" spans="2:2">
      <c r="B25">
        <f>POWER(C11,2)</f>
        <v>127161.42040899998</v>
      </c>
    </row>
    <row r="26" spans="2:2">
      <c r="B26">
        <f>POWER(C12,2)</f>
        <v>4.068289</v>
      </c>
    </row>
    <row r="27" spans="2:2">
      <c r="B27">
        <f>POWER(C13,2)</f>
        <v>2.25</v>
      </c>
    </row>
    <row r="28" spans="2:2">
      <c r="B28">
        <f>POWER(B10,2)</f>
        <v>438510.16440100002</v>
      </c>
    </row>
    <row r="29" spans="2:2">
      <c r="B29">
        <f>POWER(B11,2)</f>
        <v>535687.85664900008</v>
      </c>
    </row>
    <row r="30" spans="2:2">
      <c r="B30">
        <f>POWER(B12,2)</f>
        <v>48.011041000000006</v>
      </c>
    </row>
    <row r="31" spans="2:2">
      <c r="B31">
        <f>POWER(B13,2)</f>
        <v>132.25</v>
      </c>
    </row>
    <row r="32" spans="2:2">
      <c r="B32">
        <f>B24+B28</f>
        <v>594696.36601700005</v>
      </c>
    </row>
    <row r="33" spans="2:2">
      <c r="B33">
        <f>B25+B29</f>
        <v>662849.27705800009</v>
      </c>
    </row>
    <row r="34" spans="2:2">
      <c r="B34">
        <f>B26+B30</f>
        <v>52.079330000000006</v>
      </c>
    </row>
    <row r="35" spans="2:2">
      <c r="B35">
        <f>B27+B31</f>
        <v>134.5</v>
      </c>
    </row>
    <row r="36" spans="2:2">
      <c r="B36">
        <f>A10*B32</f>
        <v>165920286.118743</v>
      </c>
    </row>
    <row r="37" spans="2:2">
      <c r="B37">
        <f>A11*B33</f>
        <v>135884101.79689002</v>
      </c>
    </row>
    <row r="38" spans="2:2">
      <c r="B38">
        <f>A12*B34</f>
        <v>729.11062000000004</v>
      </c>
    </row>
    <row r="39" spans="2:2">
      <c r="B39">
        <f>A13*B35</f>
        <v>269</v>
      </c>
    </row>
    <row r="40" spans="2:2">
      <c r="B40">
        <f>SUM(B36:B39)</f>
        <v>301805386.02625304</v>
      </c>
    </row>
    <row r="41" spans="2:2">
      <c r="B41">
        <f>B40/B20</f>
        <v>603610.7720525061</v>
      </c>
    </row>
    <row r="44" spans="2:2">
      <c r="B44">
        <f>B41-POWER(B21,2)</f>
        <v>154938.4895661046</v>
      </c>
    </row>
    <row r="46" spans="2:2">
      <c r="B46">
        <f>SQRT(LN(1+B44/POWER(B21,2)))</f>
        <v>0.54464376883713517</v>
      </c>
    </row>
    <row r="49" spans="2:2">
      <c r="B49">
        <f>LN(B21)-POWER(B46,2)/2</f>
        <v>6.3587055910965677</v>
      </c>
    </row>
    <row r="52" spans="2:2">
      <c r="B52">
        <f>EXP(B49+1.64485*B46)</f>
        <v>1414.5445624404613</v>
      </c>
    </row>
    <row r="53" spans="2:2">
      <c r="B53">
        <f>ROUND(B52,2)</f>
        <v>1414.54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pessimistic-lock-500-ngrinder-r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2026-03-29T19:37:19Z</dcterms:created>
  <dcterms:modified xsi:type="dcterms:W3CDTF">2026-03-29T20:47:00Z</dcterms:modified>
</cp:coreProperties>
</file>