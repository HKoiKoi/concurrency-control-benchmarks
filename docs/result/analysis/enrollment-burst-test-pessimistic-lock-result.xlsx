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analysis/"/>
    </mc:Choice>
  </mc:AlternateContent>
  <xr:revisionPtr revIDLastSave="0" documentId="13_ncr:1_{BA977A7A-30DF-7944-BD72-9FA2609711FE}" xr6:coauthVersionLast="47" xr6:coauthVersionMax="47" xr10:uidLastSave="{00000000-0000-0000-0000-000000000000}"/>
  <bookViews>
    <workbookView xWindow="0" yWindow="660" windowWidth="29400" windowHeight="18460" activeTab="2" xr2:uid="{829354C8-DEED-BD4A-88FD-415D5A61907D}"/>
  </bookViews>
  <sheets>
    <sheet name="Pessimistic Lock" sheetId="1" r:id="rId1"/>
    <sheet name="TPS" sheetId="2" r:id="rId2"/>
    <sheet name="Mean Latenc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J6" i="3"/>
  <c r="J5" i="3"/>
  <c r="J4" i="3"/>
  <c r="I6" i="3"/>
  <c r="I5" i="3"/>
  <c r="I4" i="3"/>
  <c r="C18" i="3"/>
  <c r="N6" i="3" l="1"/>
  <c r="M6" i="3"/>
  <c r="L6" i="3"/>
  <c r="N5" i="3"/>
  <c r="M5" i="3"/>
  <c r="L5" i="3"/>
  <c r="N4" i="3"/>
  <c r="M4" i="3"/>
  <c r="L4" i="3"/>
  <c r="L6" i="2"/>
  <c r="K6" i="2"/>
  <c r="J6" i="2"/>
  <c r="I6" i="2"/>
  <c r="L5" i="2"/>
  <c r="K5" i="2"/>
  <c r="J5" i="2"/>
  <c r="I5" i="2"/>
  <c r="L4" i="2"/>
  <c r="K4" i="2"/>
  <c r="J4" i="2"/>
  <c r="I4" i="2"/>
</calcChain>
</file>

<file path=xl/sharedStrings.xml><?xml version="1.0" encoding="utf-8"?>
<sst xmlns="http://schemas.openxmlformats.org/spreadsheetml/2006/main" count="34" uniqueCount="25">
  <si>
    <t>TPS (request/sec)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</si>
  <si>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</si>
  <si>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</si>
  <si>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</si>
  <si>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</si>
  <si>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</si>
  <si>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테스트</t>
    <phoneticPr fontId="1" type="noConversion"/>
  </si>
  <si>
    <t>Vuser</t>
    <phoneticPr fontId="1" type="noConversion"/>
  </si>
  <si>
    <t>Mean TPS</t>
    <phoneticPr fontId="1" type="noConversion"/>
  </si>
  <si>
    <t>Peek TPS</t>
    <phoneticPr fontId="1" type="noConversion"/>
  </si>
  <si>
    <t>Worst Mean TPS</t>
    <phoneticPr fontId="1" type="noConversion"/>
  </si>
  <si>
    <t>Overall Mean TPS</t>
    <phoneticPr fontId="1" type="noConversion"/>
  </si>
  <si>
    <t>Best Mean TPS</t>
    <phoneticPr fontId="1" type="noConversion"/>
  </si>
  <si>
    <t>Average Peak TPS</t>
    <phoneticPr fontId="1" type="noConversion"/>
  </si>
  <si>
    <t>취합 TPS (request/sec)</t>
    <phoneticPr fontId="1" type="noConversion"/>
  </si>
  <si>
    <t>Mean Latency (ms)</t>
    <phoneticPr fontId="1" type="noConversion"/>
  </si>
  <si>
    <t>Mean Latency</t>
    <phoneticPr fontId="1" type="noConversion"/>
  </si>
  <si>
    <t>취합 Mean Latency (ms)</t>
    <phoneticPr fontId="1" type="noConversion"/>
  </si>
  <si>
    <t>Worst Mean Latency</t>
    <phoneticPr fontId="1" type="noConversion"/>
  </si>
  <si>
    <t>Overall Mean Latency</t>
    <phoneticPr fontId="1" type="noConversion"/>
  </si>
  <si>
    <t>Best Mean Latency</t>
    <phoneticPr fontId="1" type="noConversion"/>
  </si>
  <si>
    <t>95th Percentile (추정치)</t>
    <phoneticPr fontId="1" type="noConversion"/>
  </si>
  <si>
    <t>Worst 95th Percentile</t>
    <phoneticPr fontId="1" type="noConversion"/>
  </si>
  <si>
    <t>Overall 95th Percentile</t>
    <phoneticPr fontId="1" type="noConversion"/>
  </si>
  <si>
    <t>Best 95th Percentile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</si>
</sst>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0E-50C2-3844-B972-4A79ADA296B4}">
  <dimension ref="A1"/>
  <sheetViews>
    <sheetView workbookViewId="0">
      <selection activeCell="I22" sqref="I22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6A4-CB6E-9740-BA12-8F5D37C430EC}">
  <dimension ref="A1:L18"/>
  <sheetViews>
    <sheetView workbookViewId="0">
      <selection activeCell="J26" sqref="J26"/>
    </sheetView>
  </sheetViews>
  <sheetFormatPr baseColWidth="10" defaultRowHeight="18"/>
  <cols>
    <col min="1" max="1" width="6.85546875" bestFit="1" customWidth="1"/>
    <col min="2" max="2" width="6" bestFit="1" customWidth="1"/>
    <col min="3" max="3" width="9.42578125" bestFit="1" customWidth="1"/>
    <col min="4" max="4" width="8.7109375" bestFit="1" customWidth="1"/>
    <col min="8" max="8" width="6" bestFit="1" customWidth="1"/>
    <col min="9" max="9" width="14.5703125" bestFit="1" customWidth="1"/>
    <col min="10" max="10" width="15.5703125" bestFit="1" customWidth="1"/>
    <col min="11" max="11" width="13.28515625" bestFit="1" customWidth="1"/>
    <col min="12" max="12" width="15.7109375" bestFit="1" customWidth="1"/>
  </cols>
  <sheetData>
    <row r="1" spans="1:12">
      <c r="A1" s="1" t="s">
        <v>0</v>
      </c>
      <c r="B1" s="1"/>
      <c r="C1" s="1"/>
      <c r="D1" s="1"/>
      <c r="H1" s="1" t="s">
        <v>14</v>
      </c>
      <c r="I1" s="1"/>
      <c r="J1" s="1"/>
      <c r="K1" s="1"/>
      <c r="L1" s="1"/>
    </row>
    <row r="2" spans="1:12">
      <c r="A2" s="1"/>
      <c r="B2" s="1"/>
      <c r="C2" s="1"/>
      <c r="D2" s="1"/>
      <c r="H2" s="1"/>
      <c r="I2" s="1"/>
      <c r="J2" s="1"/>
      <c r="K2" s="1"/>
      <c r="L2" s="1"/>
    </row>
    <row r="3" spans="1:12">
      <c r="A3" t="s">
        <v>6</v>
      </c>
      <c r="B3" t="s">
        <v>7</v>
      </c>
      <c r="C3" t="s">
        <v>8</v>
      </c>
      <c r="D3" t="s">
        <v>9</v>
      </c>
      <c r="H3" t="s">
        <v>7</v>
      </c>
      <c r="I3" t="s">
        <v>10</v>
      </c>
      <c r="J3" t="s">
        <v>11</v>
      </c>
      <c r="K3" t="s">
        <v>12</v>
      </c>
      <c r="L3" t="s">
        <v>13</v>
      </c>
    </row>
    <row r="4" spans="1:12">
      <c r="A4" s="1" t="s">
        <v>1</v>
      </c>
      <c r="B4">
        <v>500</v>
      </c>
      <c r="C4">
        <v>41.5</v>
      </c>
      <c r="D4">
        <v>107</v>
      </c>
      <c r="H4">
        <v>500</v>
      </c>
      <c r="I4">
        <f>MIN(C4,C7,C10,C13,C16)</f>
        <v>35.6</v>
      </c>
      <c r="J4">
        <f>AVERAGE(C4,C7,C10,C13,C16)</f>
        <v>50.3</v>
      </c>
      <c r="K4">
        <f>MAX(C4,C7,C10,C13,C16)</f>
        <v>62.3</v>
      </c>
      <c r="L4">
        <f>AVERAGE(D4,D7,D10,D13,D16)</f>
        <v>125.8</v>
      </c>
    </row>
    <row r="5" spans="1:12">
      <c r="A5" s="1"/>
      <c r="B5">
        <v>800</v>
      </c>
      <c r="C5">
        <v>99.7</v>
      </c>
      <c r="D5">
        <v>243</v>
      </c>
      <c r="H5">
        <v>800</v>
      </c>
      <c r="I5">
        <f>MIN(C5,C8,C11,C14,C17)</f>
        <v>66.3</v>
      </c>
      <c r="J5">
        <f>AVERAGE(C5,C8,C11,C14,C17)</f>
        <v>82.34</v>
      </c>
      <c r="K5">
        <f>MAX(C5,C8,C11,C14,C17)</f>
        <v>99.7</v>
      </c>
      <c r="L5">
        <f>AVERAGE(D5,D8,D11,D14,D17)</f>
        <v>214.7</v>
      </c>
    </row>
    <row r="6" spans="1:12">
      <c r="A6" s="1"/>
      <c r="B6">
        <v>1000</v>
      </c>
      <c r="C6">
        <v>62.3</v>
      </c>
      <c r="D6">
        <v>207</v>
      </c>
      <c r="H6">
        <v>1000</v>
      </c>
      <c r="I6">
        <f>MIN(C6,C9,C12,C15,C18)</f>
        <v>62.3</v>
      </c>
      <c r="J6">
        <f>AVERAGE(C6,C9,C12,C15,C18)</f>
        <v>85.47999999999999</v>
      </c>
      <c r="K6">
        <f>MAX(C6,C9,C12,C15,C18)</f>
        <v>99.6</v>
      </c>
      <c r="L6">
        <f>AVERAGE(D6,D9,D12,D15,D18)</f>
        <v>189.2</v>
      </c>
    </row>
    <row r="7" spans="1:12">
      <c r="A7" s="1" t="s">
        <v>2</v>
      </c>
      <c r="B7">
        <v>500</v>
      </c>
      <c r="C7">
        <v>49.8</v>
      </c>
      <c r="D7">
        <v>99</v>
      </c>
    </row>
    <row r="8" spans="1:12">
      <c r="A8" s="1"/>
      <c r="B8">
        <v>800</v>
      </c>
      <c r="C8">
        <v>79.8</v>
      </c>
      <c r="D8">
        <v>228.5</v>
      </c>
    </row>
    <row r="9" spans="1:12">
      <c r="A9" s="1"/>
      <c r="B9">
        <v>1000</v>
      </c>
      <c r="C9">
        <v>99.5</v>
      </c>
      <c r="D9">
        <v>201</v>
      </c>
    </row>
    <row r="10" spans="1:12">
      <c r="A10" s="1" t="s">
        <v>3</v>
      </c>
      <c r="B10">
        <v>500</v>
      </c>
      <c r="C10">
        <v>62.3</v>
      </c>
      <c r="D10">
        <v>139.5</v>
      </c>
    </row>
    <row r="11" spans="1:12">
      <c r="A11" s="1"/>
      <c r="B11">
        <v>800</v>
      </c>
      <c r="C11">
        <v>66.3</v>
      </c>
      <c r="D11">
        <v>192.5</v>
      </c>
    </row>
    <row r="12" spans="1:12">
      <c r="A12" s="1"/>
      <c r="B12">
        <v>1000</v>
      </c>
      <c r="C12">
        <v>83</v>
      </c>
      <c r="D12">
        <v>150.5</v>
      </c>
    </row>
    <row r="13" spans="1:12">
      <c r="A13" s="1" t="s">
        <v>4</v>
      </c>
      <c r="B13">
        <v>500</v>
      </c>
      <c r="C13">
        <v>35.6</v>
      </c>
      <c r="D13">
        <v>113</v>
      </c>
    </row>
    <row r="14" spans="1:12">
      <c r="A14" s="1"/>
      <c r="B14">
        <v>800</v>
      </c>
      <c r="C14">
        <v>99.5</v>
      </c>
      <c r="D14">
        <v>285.5</v>
      </c>
    </row>
    <row r="15" spans="1:12">
      <c r="A15" s="1"/>
      <c r="B15">
        <v>1000</v>
      </c>
      <c r="C15">
        <v>99.6</v>
      </c>
      <c r="D15">
        <v>241.5</v>
      </c>
    </row>
    <row r="16" spans="1:12">
      <c r="A16" s="1" t="s">
        <v>5</v>
      </c>
      <c r="B16">
        <v>500</v>
      </c>
      <c r="C16">
        <v>62.3</v>
      </c>
      <c r="D16">
        <v>170.5</v>
      </c>
    </row>
    <row r="17" spans="1:4">
      <c r="A17" s="1"/>
      <c r="B17">
        <v>800</v>
      </c>
      <c r="C17">
        <v>66.400000000000006</v>
      </c>
      <c r="D17">
        <v>124</v>
      </c>
    </row>
    <row r="18" spans="1:4">
      <c r="A18" s="1"/>
      <c r="B18">
        <v>1000</v>
      </c>
      <c r="C18">
        <v>83</v>
      </c>
      <c r="D18">
        <v>146</v>
      </c>
    </row>
  </sheetData>
  <mergeCells count="7">
    <mergeCell ref="H1:L2"/>
    <mergeCell ref="A16:A18"/>
    <mergeCell ref="A4:A6"/>
    <mergeCell ref="A7:A9"/>
    <mergeCell ref="A10:A12"/>
    <mergeCell ref="A13:A15"/>
    <mergeCell ref="A1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AED8-BFB4-1946-BD50-4033FDA20FC9}">
  <dimension ref="A1:N18"/>
  <sheetViews>
    <sheetView tabSelected="1" workbookViewId="0">
      <selection activeCell="L23" sqref="L23"/>
    </sheetView>
  </sheetViews>
  <sheetFormatPr baseColWidth="10" defaultRowHeight="18"/>
  <cols>
    <col min="1" max="1" width="6.85546875" bestFit="1" customWidth="1"/>
    <col min="2" max="2" width="6" bestFit="1" customWidth="1"/>
    <col min="3" max="3" width="12.42578125" customWidth="1"/>
    <col min="4" max="4" width="20.85546875" bestFit="1" customWidth="1"/>
    <col min="8" max="8" width="6" bestFit="1" customWidth="1"/>
    <col min="9" max="9" width="18" bestFit="1" customWidth="1"/>
    <col min="10" max="10" width="18.85546875" bestFit="1" customWidth="1"/>
    <col min="11" max="11" width="16.5703125" bestFit="1" customWidth="1"/>
    <col min="12" max="12" width="18.85546875" bestFit="1" customWidth="1"/>
    <col min="13" max="13" width="19.85546875" bestFit="1" customWidth="1"/>
    <col min="14" max="14" width="17.42578125" bestFit="1" customWidth="1"/>
  </cols>
  <sheetData>
    <row r="1" spans="1:14">
      <c r="A1" s="1" t="s">
        <v>15</v>
      </c>
      <c r="B1" s="1"/>
      <c r="C1" s="1"/>
      <c r="D1" s="1"/>
      <c r="H1" s="1" t="s">
        <v>17</v>
      </c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H2" s="1"/>
      <c r="I2" s="1"/>
      <c r="J2" s="1"/>
      <c r="K2" s="1"/>
      <c r="L2" s="1"/>
      <c r="M2" s="1"/>
      <c r="N2" s="1"/>
    </row>
    <row r="3" spans="1:14">
      <c r="A3" t="s">
        <v>6</v>
      </c>
      <c r="B3" t="s">
        <v>7</v>
      </c>
      <c r="C3" t="s">
        <v>16</v>
      </c>
      <c r="D3" t="s">
        <v>21</v>
      </c>
      <c r="H3" t="s">
        <v>7</v>
      </c>
      <c r="I3" t="s">
        <v>18</v>
      </c>
      <c r="J3" t="s">
        <v>19</v>
      </c>
      <c r="K3" t="s">
        <v>20</v>
      </c>
      <c r="L3" t="s">
        <v>22</v>
      </c>
      <c r="M3" t="s">
        <v>23</v>
      </c>
      <c r="N3" t="s">
        <v>24</v>
      </c>
    </row>
    <row r="4" spans="1:14">
      <c r="A4" s="1" t="s">
        <v>1</v>
      </c>
      <c r="B4">
        <v>500</v>
      </c>
      <c r="C4">
        <v>521.95000000000005</v>
      </c>
      <c r="D4">
        <v>1260.73</v>
      </c>
      <c r="H4">
        <v>500</v>
      </c>
      <c r="I4">
        <f>MAX(C4,C7,C10,C13,C16)</f>
        <v>732.61</v>
      </c>
      <c r="J4">
        <f>AVERAGE(C4,C7,C10,C13,C16)</f>
        <v>556.57800000000009</v>
      </c>
      <c r="K4">
        <f>MIN(C4,C7,C10,C13,C16)</f>
        <v>409.65</v>
      </c>
      <c r="L4">
        <f>MAX(D4,D7,D10,D13,D16)</f>
        <v>1671.6</v>
      </c>
      <c r="M4">
        <f>AVERAGE(D4,D7,D10,D13,D16)</f>
        <v>1300.69</v>
      </c>
      <c r="N4">
        <f>MIN(D4,D7,D10,D13,D16)</f>
        <v>987.85</v>
      </c>
    </row>
    <row r="5" spans="1:14">
      <c r="A5" s="1"/>
      <c r="B5">
        <v>800</v>
      </c>
      <c r="C5">
        <v>1176.68</v>
      </c>
      <c r="D5">
        <v>2299.5</v>
      </c>
      <c r="H5">
        <v>800</v>
      </c>
      <c r="I5">
        <f>MAX(C5,C8,C11,C14,C17)</f>
        <v>1303.32</v>
      </c>
      <c r="J5">
        <f>AVERAGE(C5,C8,C11,C14,C17)</f>
        <v>1041.7339999999999</v>
      </c>
      <c r="K5">
        <f>MIN(C5,C8,C11,C14,C17)</f>
        <v>828.86</v>
      </c>
      <c r="L5">
        <f>MAX(D5,D8,D11,D14,D17)</f>
        <v>2410.56</v>
      </c>
      <c r="M5">
        <f>AVERAGE(D5,D8,D11,D14,D17)</f>
        <v>1999.2380000000001</v>
      </c>
      <c r="N5">
        <f>MIN(D5,D8,D11,D14,D17)</f>
        <v>1623.93</v>
      </c>
    </row>
    <row r="6" spans="1:14">
      <c r="A6" s="1"/>
      <c r="B6">
        <v>1000</v>
      </c>
      <c r="C6">
        <v>1065.08</v>
      </c>
      <c r="D6">
        <v>2212.87</v>
      </c>
      <c r="H6">
        <v>1000</v>
      </c>
      <c r="I6">
        <f>MAX(C6,C9,C12,C15,C18)</f>
        <v>1124.9100000000001</v>
      </c>
      <c r="J6">
        <f>AVERAGE(C6,C9,C12,C15,C18)</f>
        <v>1012.8899999999998</v>
      </c>
      <c r="K6">
        <f>MIN(C6,C9,C12,C15,C18)</f>
        <v>764.98</v>
      </c>
      <c r="L6">
        <f>MAX(D6,D9,D12,D15,D18)</f>
        <v>2275.0100000000002</v>
      </c>
      <c r="M6">
        <f>AVERAGE(D6,D9,D12,D15,D18)</f>
        <v>2093.9360000000001</v>
      </c>
      <c r="N6">
        <f>MIN(D6,D9,D12,D15,D18)</f>
        <v>1674.41</v>
      </c>
    </row>
    <row r="7" spans="1:14">
      <c r="A7" s="1" t="s">
        <v>2</v>
      </c>
      <c r="B7">
        <v>500</v>
      </c>
      <c r="C7">
        <v>448.85</v>
      </c>
      <c r="D7">
        <v>1168.73</v>
      </c>
    </row>
    <row r="8" spans="1:14">
      <c r="A8" s="1"/>
      <c r="B8">
        <v>800</v>
      </c>
      <c r="C8">
        <v>828.86</v>
      </c>
      <c r="D8">
        <v>1623.93</v>
      </c>
    </row>
    <row r="9" spans="1:14">
      <c r="A9" s="1"/>
      <c r="B9">
        <v>1000</v>
      </c>
      <c r="C9">
        <v>1124.9100000000001</v>
      </c>
      <c r="D9">
        <v>2275.0100000000002</v>
      </c>
    </row>
    <row r="10" spans="1:14">
      <c r="A10" s="1" t="s">
        <v>3</v>
      </c>
      <c r="B10">
        <v>500</v>
      </c>
      <c r="C10">
        <v>669.83</v>
      </c>
      <c r="D10">
        <v>1414.54</v>
      </c>
    </row>
    <row r="11" spans="1:14">
      <c r="A11" s="1"/>
      <c r="B11">
        <v>800</v>
      </c>
      <c r="C11">
        <v>1028.52</v>
      </c>
      <c r="D11">
        <v>1873.72</v>
      </c>
    </row>
    <row r="12" spans="1:14">
      <c r="A12" s="1"/>
      <c r="B12">
        <v>1000</v>
      </c>
      <c r="C12">
        <v>1069.21</v>
      </c>
      <c r="D12">
        <v>2170.84</v>
      </c>
    </row>
    <row r="13" spans="1:14">
      <c r="A13" s="1" t="s">
        <v>4</v>
      </c>
      <c r="B13">
        <v>500</v>
      </c>
      <c r="C13">
        <v>409.65</v>
      </c>
      <c r="D13">
        <v>987.85</v>
      </c>
    </row>
    <row r="14" spans="1:14">
      <c r="A14" s="1"/>
      <c r="B14">
        <v>800</v>
      </c>
      <c r="C14">
        <v>1303.32</v>
      </c>
      <c r="D14">
        <v>2410.56</v>
      </c>
    </row>
    <row r="15" spans="1:14">
      <c r="A15" s="1"/>
      <c r="B15">
        <v>1000</v>
      </c>
      <c r="C15">
        <v>1040.27</v>
      </c>
      <c r="D15">
        <v>2136.5500000000002</v>
      </c>
    </row>
    <row r="16" spans="1:14">
      <c r="A16" s="1" t="s">
        <v>5</v>
      </c>
      <c r="B16">
        <v>500</v>
      </c>
      <c r="C16">
        <v>732.61</v>
      </c>
      <c r="D16">
        <v>1671.6</v>
      </c>
    </row>
    <row r="17" spans="1:4">
      <c r="A17" s="1"/>
      <c r="B17">
        <v>800</v>
      </c>
      <c r="C17">
        <v>871.29</v>
      </c>
      <c r="D17">
        <v>1788.48</v>
      </c>
    </row>
    <row r="18" spans="1:4">
      <c r="A18" s="1"/>
      <c r="B18">
        <v>1000</v>
      </c>
      <c r="C18">
        <f>764.98</f>
        <v>764.98</v>
      </c>
      <c r="D18">
        <v>1674.41</v>
      </c>
    </row>
  </sheetData>
  <mergeCells count="7">
    <mergeCell ref="A1:D2"/>
    <mergeCell ref="H1:N2"/>
    <mergeCell ref="A16:A18"/>
    <mergeCell ref="A4:A6"/>
    <mergeCell ref="A7:A9"/>
    <mergeCell ref="A10:A12"/>
    <mergeCell ref="A1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Pessimistic Lock</vt:lpstr>
      <vt:lpstr>TPS</vt:lpstr>
      <vt:lpstr>Mean 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2026-03-29T01:45:31Z</dcterms:created>
  <dcterms:modified xsi:type="dcterms:W3CDTF">2026-03-29T20:56:10Z</dcterms:modified>
</cp:coreProperties>
</file>